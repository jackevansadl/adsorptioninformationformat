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1" codeName="{6BE1CDB9-6C1C-A5B6-3FC1-E231EC3C600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jevans/Documents/GitHub/adsorptioninformationformat/new_examples/"/>
    </mc:Choice>
  </mc:AlternateContent>
  <xr:revisionPtr revIDLastSave="0" documentId="13_ncr:1_{03FC37E8-A4B5-A443-86B0-10FC09DA32B5}" xr6:coauthVersionLast="46" xr6:coauthVersionMax="46" xr10:uidLastSave="{00000000-0000-0000-0000-000000000000}"/>
  <bookViews>
    <workbookView xWindow="13500" yWindow="920" windowWidth="24860" windowHeight="19500" xr2:uid="{00000000-000D-0000-FFFF-FFFF00000000}"/>
  </bookViews>
  <sheets>
    <sheet name="Ads. rate meas. calc." sheetId="19" r:id="rId1"/>
    <sheet name="GC calc" sheetId="20" r:id="rId2"/>
    <sheet name="Adsorption amount" sheetId="21" r:id="rId3"/>
  </sheets>
  <functionGroups builtInGroupCount="19"/>
  <definedNames>
    <definedName name="input1">'Ads. rate meas. calc.'!$K$63</definedName>
    <definedName name="_xlnm.Print_Area" localSheetId="2">'Adsorption amount'!$A$1:$AI$77</definedName>
    <definedName name="_xlnm.Print_Area" localSheetId="1">'GC calc'!$R$8:$AL$88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11" i="19" l="1"/>
  <c r="R111" i="19"/>
  <c r="S111" i="19" s="1"/>
  <c r="R108" i="19"/>
  <c r="S108" i="19" s="1"/>
  <c r="R107" i="19"/>
  <c r="S107" i="19" s="1"/>
  <c r="U101" i="19"/>
  <c r="P101" i="19"/>
  <c r="U100" i="19"/>
  <c r="P100" i="19"/>
  <c r="U99" i="19"/>
  <c r="P99" i="19"/>
  <c r="U98" i="19"/>
  <c r="P98" i="19"/>
  <c r="V94" i="19"/>
  <c r="U94" i="19"/>
  <c r="V93" i="19"/>
  <c r="U93" i="19"/>
  <c r="K88" i="19"/>
  <c r="U91" i="19"/>
  <c r="U92" i="19"/>
  <c r="V92" i="19" l="1"/>
  <c r="V91" i="19"/>
  <c r="L14" i="19"/>
  <c r="V95" i="19" l="1"/>
  <c r="W92" i="19" s="1"/>
  <c r="R57" i="19"/>
  <c r="W91" i="19" l="1"/>
  <c r="T102" i="19" s="1"/>
  <c r="W94" i="19"/>
  <c r="W93" i="19"/>
  <c r="M20" i="19"/>
  <c r="K107" i="19" s="1"/>
  <c r="V102" i="19"/>
  <c r="N107" i="19" l="1"/>
  <c r="V98" i="19"/>
  <c r="V101" i="19"/>
  <c r="V100" i="19"/>
  <c r="V99" i="19"/>
  <c r="G3" i="20"/>
  <c r="P4" i="20"/>
  <c r="T86" i="19" l="1"/>
  <c r="U69" i="19"/>
  <c r="U44" i="19"/>
  <c r="U43" i="19"/>
  <c r="U68" i="19"/>
  <c r="U41" i="19"/>
  <c r="U66" i="19"/>
  <c r="U67" i="19"/>
  <c r="U42" i="19"/>
  <c r="V69" i="19" l="1"/>
  <c r="V68" i="19"/>
  <c r="V66" i="19"/>
  <c r="V67" i="19"/>
  <c r="V41" i="19"/>
  <c r="V42" i="19"/>
  <c r="R61" i="19"/>
  <c r="V44" i="19"/>
  <c r="V43" i="19"/>
  <c r="V45" i="19" l="1"/>
  <c r="W41" i="19" s="1"/>
  <c r="V70" i="19"/>
  <c r="U49" i="19"/>
  <c r="U50" i="19"/>
  <c r="R86" i="19" l="1"/>
  <c r="S86" i="19" s="1"/>
  <c r="P76" i="19"/>
  <c r="P75" i="19"/>
  <c r="P74" i="19"/>
  <c r="P73" i="19"/>
  <c r="U76" i="19" l="1"/>
  <c r="U75" i="19"/>
  <c r="U74" i="19"/>
  <c r="U73" i="19"/>
  <c r="P51" i="19"/>
  <c r="P50" i="19"/>
  <c r="P49" i="19"/>
  <c r="P48" i="19"/>
  <c r="W42" i="19" l="1"/>
  <c r="W66" i="19"/>
  <c r="W67" i="19" l="1"/>
  <c r="W69" i="19"/>
  <c r="W68" i="19"/>
  <c r="W43" i="19"/>
  <c r="W44" i="19"/>
  <c r="T52" i="19" l="1"/>
  <c r="T77" i="19"/>
  <c r="U51" i="19"/>
  <c r="U48" i="19"/>
  <c r="V77" i="19"/>
  <c r="V52" i="19"/>
  <c r="V48" i="19" l="1"/>
  <c r="V49" i="19"/>
  <c r="V51" i="19"/>
  <c r="V50" i="19"/>
  <c r="V73" i="19"/>
  <c r="V74" i="19"/>
  <c r="V76" i="19"/>
  <c r="V75" i="19"/>
  <c r="S61" i="19"/>
  <c r="K57" i="19" l="1"/>
  <c r="K82" i="19"/>
  <c r="K63" i="19"/>
  <c r="K38" i="19"/>
  <c r="N57" i="19" l="1"/>
  <c r="N82" i="19"/>
  <c r="C2" i="20"/>
  <c r="B3" i="20"/>
  <c r="N20" i="19"/>
  <c r="O20" i="19"/>
  <c r="P20" i="19"/>
  <c r="Q20" i="19"/>
  <c r="M21" i="19"/>
  <c r="K108" i="19" s="1"/>
  <c r="N21" i="19"/>
  <c r="O21" i="19"/>
  <c r="P21" i="19"/>
  <c r="Q21" i="19"/>
  <c r="M22" i="19"/>
  <c r="K109" i="19" s="1"/>
  <c r="N22" i="19"/>
  <c r="O22" i="19"/>
  <c r="P22" i="19"/>
  <c r="Q22" i="19"/>
  <c r="M23" i="19"/>
  <c r="K110" i="19" s="1"/>
  <c r="N23" i="19"/>
  <c r="O23" i="19"/>
  <c r="P23" i="19"/>
  <c r="Q23" i="19"/>
  <c r="M24" i="19"/>
  <c r="O24" i="19"/>
  <c r="P24" i="19"/>
  <c r="Q24" i="19"/>
  <c r="N109" i="19" l="1"/>
  <c r="N110" i="19"/>
  <c r="N108" i="19"/>
  <c r="P112" i="19"/>
  <c r="I3" i="20"/>
  <c r="C4" i="20" s="1"/>
  <c r="P6" i="20"/>
  <c r="H3" i="20"/>
  <c r="C3" i="20" s="1"/>
  <c r="P5" i="20"/>
  <c r="P7" i="20"/>
  <c r="J3" i="20"/>
  <c r="C5" i="20" s="1"/>
  <c r="K83" i="19"/>
  <c r="K58" i="19"/>
  <c r="K85" i="19"/>
  <c r="N85" i="19" s="1"/>
  <c r="K60" i="19"/>
  <c r="N60" i="19" s="1"/>
  <c r="K84" i="19"/>
  <c r="N84" i="19" s="1"/>
  <c r="K59" i="19"/>
  <c r="N59" i="19" s="1"/>
  <c r="O108" i="19" l="1"/>
  <c r="O107" i="19"/>
  <c r="O110" i="19"/>
  <c r="O109" i="19"/>
  <c r="B2" i="20"/>
  <c r="N58" i="19"/>
  <c r="O58" i="19" s="1"/>
  <c r="P62" i="19"/>
  <c r="N83" i="19"/>
  <c r="O85" i="19" s="1"/>
  <c r="P87" i="19"/>
  <c r="P102" i="19" l="1"/>
  <c r="O111" i="19"/>
  <c r="O83" i="19"/>
  <c r="O82" i="19"/>
  <c r="O84" i="19"/>
  <c r="O57" i="19"/>
  <c r="O59" i="19"/>
  <c r="O60" i="19"/>
  <c r="P111" i="19"/>
  <c r="V111" i="19" l="1"/>
  <c r="W111" i="19" s="1"/>
  <c r="U111" i="19"/>
  <c r="P110" i="19"/>
  <c r="P108" i="19"/>
  <c r="P109" i="19"/>
  <c r="P107" i="19"/>
  <c r="U107" i="19" s="1"/>
  <c r="Q107" i="19"/>
  <c r="S98" i="19"/>
  <c r="V107" i="19"/>
  <c r="W107" i="19" s="1"/>
  <c r="P77" i="19"/>
  <c r="O86" i="19"/>
  <c r="P52" i="19"/>
  <c r="O61" i="19"/>
  <c r="T61" i="19"/>
  <c r="P61" i="19"/>
  <c r="P86" i="19"/>
  <c r="S99" i="19" l="1"/>
  <c r="U108" i="19"/>
  <c r="V108" i="19"/>
  <c r="W108" i="19" s="1"/>
  <c r="Q108" i="19"/>
  <c r="T108" i="19" s="1"/>
  <c r="S101" i="19"/>
  <c r="R110" i="19" s="1"/>
  <c r="S110" i="19" s="1"/>
  <c r="U110" i="19"/>
  <c r="V110" i="19"/>
  <c r="W110" i="19" s="1"/>
  <c r="Q110" i="19"/>
  <c r="T110" i="19" s="1"/>
  <c r="S100" i="19"/>
  <c r="R109" i="19" s="1"/>
  <c r="S109" i="19" s="1"/>
  <c r="Q109" i="19"/>
  <c r="T109" i="19" s="1"/>
  <c r="U109" i="19"/>
  <c r="V109" i="19"/>
  <c r="W109" i="19" s="1"/>
  <c r="T107" i="19"/>
  <c r="Q111" i="19"/>
  <c r="U61" i="19"/>
  <c r="V61" i="19"/>
  <c r="W61" i="19" s="1"/>
  <c r="P57" i="19"/>
  <c r="U57" i="19" s="1"/>
  <c r="P59" i="19"/>
  <c r="S50" i="19" s="1"/>
  <c r="P58" i="19"/>
  <c r="P60" i="19"/>
  <c r="Q99" i="19"/>
  <c r="Q100" i="19"/>
  <c r="Q98" i="19"/>
  <c r="Q101" i="19"/>
  <c r="Q49" i="19"/>
  <c r="Q51" i="19"/>
  <c r="V59" i="19" l="1"/>
  <c r="W59" i="19" s="1"/>
  <c r="Q59" i="19"/>
  <c r="T59" i="19" s="1"/>
  <c r="U59" i="19"/>
  <c r="Q57" i="19"/>
  <c r="T57" i="19" s="1"/>
  <c r="V57" i="19"/>
  <c r="W57" i="19" s="1"/>
  <c r="V60" i="19"/>
  <c r="W60" i="19" s="1"/>
  <c r="U60" i="19"/>
  <c r="Q60" i="19"/>
  <c r="T60" i="19" s="1"/>
  <c r="U58" i="19"/>
  <c r="Q58" i="19"/>
  <c r="T58" i="19" s="1"/>
  <c r="V58" i="19"/>
  <c r="W58" i="19" s="1"/>
  <c r="R59" i="19"/>
  <c r="S59" i="19" s="1"/>
  <c r="S48" i="19"/>
  <c r="S51" i="19"/>
  <c r="R60" i="19" s="1"/>
  <c r="S49" i="19"/>
  <c r="R58" i="19" s="1"/>
  <c r="Q50" i="19"/>
  <c r="Q48" i="19"/>
  <c r="Q61" i="19" l="1"/>
  <c r="S58" i="19"/>
  <c r="S57" i="19"/>
  <c r="S60" i="19"/>
  <c r="U86" i="19" l="1"/>
  <c r="V86" i="19"/>
  <c r="W86" i="19" s="1"/>
  <c r="P84" i="19"/>
  <c r="P83" i="19"/>
  <c r="P82" i="19"/>
  <c r="P85" i="19"/>
  <c r="Q74" i="19"/>
  <c r="Q75" i="19"/>
  <c r="Q73" i="19"/>
  <c r="S76" i="19" l="1"/>
  <c r="R85" i="19" s="1"/>
  <c r="S85" i="19" s="1"/>
  <c r="U83" i="19"/>
  <c r="Q83" i="19"/>
  <c r="T83" i="19" s="1"/>
  <c r="S74" i="19"/>
  <c r="R83" i="19" s="1"/>
  <c r="S83" i="19" s="1"/>
  <c r="U84" i="19"/>
  <c r="Q84" i="19"/>
  <c r="T84" i="19" s="1"/>
  <c r="S75" i="19"/>
  <c r="R84" i="19" s="1"/>
  <c r="S84" i="19" s="1"/>
  <c r="U82" i="19"/>
  <c r="S73" i="19"/>
  <c r="R82" i="19" s="1"/>
  <c r="S82" i="19" s="1"/>
  <c r="U85" i="19"/>
  <c r="Q85" i="19"/>
  <c r="T85" i="19" s="1"/>
  <c r="V82" i="19"/>
  <c r="W82" i="19" s="1"/>
  <c r="Q82" i="19"/>
  <c r="V85" i="19"/>
  <c r="W85" i="19" s="1"/>
  <c r="V83" i="19"/>
  <c r="W83" i="19" s="1"/>
  <c r="V84" i="19"/>
  <c r="W84" i="19" s="1"/>
  <c r="Q76" i="19"/>
  <c r="Q86" i="19" l="1"/>
  <c r="T82" i="19"/>
</calcChain>
</file>

<file path=xl/sharedStrings.xml><?xml version="1.0" encoding="utf-8"?>
<sst xmlns="http://schemas.openxmlformats.org/spreadsheetml/2006/main" count="466" uniqueCount="178">
  <si>
    <t>CO2</t>
  </si>
  <si>
    <t>kPa</t>
  </si>
  <si>
    <t>VS_B</t>
  </si>
  <si>
    <t>VS_C</t>
  </si>
  <si>
    <t>Sample weight</t>
  </si>
  <si>
    <t>g</t>
  </si>
  <si>
    <t>Dead volume measurement</t>
  </si>
  <si>
    <t>Mix</t>
  </si>
  <si>
    <t>Mixed gas</t>
  </si>
  <si>
    <t>4th component</t>
  </si>
  <si>
    <t>3rd component</t>
  </si>
  <si>
    <t>2nd component</t>
  </si>
  <si>
    <t>1st component</t>
  </si>
  <si>
    <t>%</t>
  </si>
  <si>
    <t>(real gas)</t>
  </si>
  <si>
    <t>(ideal gas)</t>
  </si>
  <si>
    <t>(measured value)</t>
  </si>
  <si>
    <t>Individual component Pi (Open)</t>
  </si>
  <si>
    <t>Individual component Pi</t>
  </si>
  <si>
    <t>Dosing molar ratio</t>
  </si>
  <si>
    <t>Dosing pressure</t>
  </si>
  <si>
    <t>Dosing target pressure</t>
  </si>
  <si>
    <t>Gas component name</t>
  </si>
  <si>
    <t>Dosing procedure</t>
  </si>
  <si>
    <t>times</t>
  </si>
  <si>
    <t>GC analysis of equilibrium gas:</t>
  </si>
  <si>
    <t>GC analysis time of equilibrium gas</t>
  </si>
  <si>
    <t>ml(S.T.P)/g</t>
  </si>
  <si>
    <t>Temporary adsorption amount per unit</t>
  </si>
  <si>
    <t>ml(S.T.P)</t>
  </si>
  <si>
    <t>Temporary adsorption amount</t>
  </si>
  <si>
    <t>min</t>
  </si>
  <si>
    <t>Equilibrium time</t>
  </si>
  <si>
    <t>Pe2 pressure (ideal gas)</t>
  </si>
  <si>
    <t>Pe pressure (ideal gas)</t>
  </si>
  <si>
    <t>Pe2 pressure (measure)</t>
  </si>
  <si>
    <t>Pe pressure (measure)</t>
  </si>
  <si>
    <t>Pi pressure (ideal gas)</t>
  </si>
  <si>
    <t>Pi pressure (measure)</t>
  </si>
  <si>
    <t>&lt;1st point&gt;</t>
  </si>
  <si>
    <t>No. of equilibration</t>
  </si>
  <si>
    <t>sec</t>
  </si>
  <si>
    <t>Equilibrium condition</t>
  </si>
  <si>
    <t>Equilibrium criteria:</t>
  </si>
  <si>
    <t>No. of GC calibration of dosed gas:</t>
  </si>
  <si>
    <t>GC calibration time of dosed gas</t>
  </si>
  <si>
    <t>Pressure before dosing to GC (measure)</t>
  </si>
  <si>
    <t>Pi pressure (calculation/measure)</t>
  </si>
  <si>
    <t>Pressure before dosing to GC (calculation/measure)</t>
  </si>
  <si>
    <t>cc</t>
  </si>
  <si>
    <t>VD (average)</t>
  </si>
  <si>
    <t>VS_A(P1P2)</t>
  </si>
  <si>
    <t>VS_A(P1)</t>
  </si>
  <si>
    <t>point</t>
  </si>
  <si>
    <t>No. of dead volume measurement point</t>
  </si>
  <si>
    <t>Max. pressure of dead volume measurement</t>
  </si>
  <si>
    <t>Mix(Pe)</t>
  </si>
  <si>
    <t>Mixed gas (Pe component)</t>
  </si>
  <si>
    <t>Mix(Pi)</t>
  </si>
  <si>
    <t>Mixed gas (Pi component)</t>
  </si>
  <si>
    <t>He gas</t>
  </si>
  <si>
    <t>4th virial (Pa-3)</t>
  </si>
  <si>
    <t>3rd virial (Pa-2)</t>
  </si>
  <si>
    <t>2nd virial (Pa-1)</t>
  </si>
  <si>
    <t>No. of gas component</t>
  </si>
  <si>
    <t>TMP</t>
  </si>
  <si>
    <t>Pe setting pressure</t>
  </si>
  <si>
    <t>ads. temp. t2</t>
  </si>
  <si>
    <t>Air bath temp. t1</t>
  </si>
  <si>
    <t>Comment about sample</t>
  </si>
  <si>
    <t>Measurement file name</t>
  </si>
  <si>
    <t>Measurement start date</t>
  </si>
  <si>
    <t>Software Ver.</t>
  </si>
  <si>
    <t>Instrument name</t>
  </si>
  <si>
    <t>Partial pressure ratio</t>
  </si>
  <si>
    <t>Aftertreatment time</t>
  </si>
  <si>
    <t>Pa</t>
  </si>
  <si>
    <t>Aftertreatment P3 vacuum</t>
  </si>
  <si>
    <t>Pretreatment time</t>
  </si>
  <si>
    <t>Pretreatment temperature</t>
  </si>
  <si>
    <t>ml(S.T.P.)</t>
    <phoneticPr fontId="3"/>
  </si>
  <si>
    <t>adsorption amount</t>
    <phoneticPr fontId="3"/>
  </si>
  <si>
    <t>CF</t>
    <phoneticPr fontId="3"/>
  </si>
  <si>
    <t>Pe Area</t>
    <phoneticPr fontId="3"/>
  </si>
  <si>
    <t>4th gas</t>
    <phoneticPr fontId="3"/>
  </si>
  <si>
    <t>1st gas</t>
    <phoneticPr fontId="3"/>
  </si>
  <si>
    <t>(Pa-3)</t>
    <phoneticPr fontId="3"/>
  </si>
  <si>
    <t>(Pa-2)</t>
    <phoneticPr fontId="3"/>
  </si>
  <si>
    <t>(Pa-1)</t>
    <phoneticPr fontId="3"/>
  </si>
  <si>
    <t>4th virial</t>
    <phoneticPr fontId="3"/>
  </si>
  <si>
    <t>3rd virial</t>
    <phoneticPr fontId="3"/>
  </si>
  <si>
    <t>2nd virial</t>
    <phoneticPr fontId="3"/>
  </si>
  <si>
    <t>The No. of repetition points</t>
  </si>
  <si>
    <t>calculate of GC area average</t>
    <phoneticPr fontId="3"/>
  </si>
  <si>
    <t>The number of times of GC analysis at equilibrium. (times)</t>
    <phoneticPr fontId="3"/>
  </si>
  <si>
    <t>The number of times of GC analysis during introduction (times)</t>
    <phoneticPr fontId="3"/>
  </si>
  <si>
    <t>Pe=1</t>
  </si>
  <si>
    <t>Pi=1</t>
  </si>
  <si>
    <t/>
  </si>
  <si>
    <t>GC count</t>
  </si>
  <si>
    <t>The total number of data</t>
    <phoneticPr fontId="3"/>
  </si>
  <si>
    <t>The number of the gas used</t>
    <phoneticPr fontId="3"/>
  </si>
  <si>
    <t>GC Area</t>
  </si>
  <si>
    <t>repeat meas. calc.(Mixed gas)</t>
    <phoneticPr fontId="3"/>
  </si>
  <si>
    <t>total</t>
  </si>
  <si>
    <t>Mole fraction ratio in Adsorption phase[%]</t>
  </si>
  <si>
    <t>Mole fraction ratio in gas phase[%]</t>
  </si>
  <si>
    <t>Partial pressure ratio[%]</t>
  </si>
  <si>
    <t>Adsorption amount per unit[ml(STP)/g]</t>
  </si>
  <si>
    <t>(Pe)[kPa]</t>
  </si>
  <si>
    <t>(Pi open)[kPa]</t>
  </si>
  <si>
    <t>GC time[min]</t>
  </si>
  <si>
    <t>Pe time[min]</t>
  </si>
  <si>
    <t>Pretreatment Time[min]</t>
  </si>
  <si>
    <t>Pretreatment Temp.[degC]</t>
  </si>
  <si>
    <t>The number of repetition points</t>
  </si>
  <si>
    <t>Pi Area</t>
  </si>
  <si>
    <t>Pe Area</t>
  </si>
  <si>
    <t>2nd gas</t>
    <phoneticPr fontId="3"/>
  </si>
  <si>
    <t>3rd gas</t>
    <phoneticPr fontId="3"/>
  </si>
  <si>
    <t>Mixed gas</t>
    <phoneticPr fontId="3"/>
  </si>
  <si>
    <t>Pi Area</t>
    <phoneticPr fontId="3"/>
  </si>
  <si>
    <t>component ratio of GC</t>
    <phoneticPr fontId="3"/>
  </si>
  <si>
    <t>Individual component Pe</t>
    <phoneticPr fontId="3"/>
  </si>
  <si>
    <t>Mole fraction ratio in gas phase</t>
    <phoneticPr fontId="3"/>
  </si>
  <si>
    <t>Individual component Pe2</t>
    <phoneticPr fontId="3"/>
  </si>
  <si>
    <t>adsorption amount per unit</t>
    <phoneticPr fontId="3"/>
  </si>
  <si>
    <t>adsorption component ratio</t>
    <phoneticPr fontId="3"/>
  </si>
  <si>
    <t>(measure)</t>
    <phoneticPr fontId="3"/>
  </si>
  <si>
    <t>%</t>
    <phoneticPr fontId="3"/>
  </si>
  <si>
    <t>KPa</t>
    <phoneticPr fontId="3"/>
  </si>
  <si>
    <t>ml(S.T.P.)/g</t>
    <phoneticPr fontId="3"/>
  </si>
  <si>
    <t>Individual component Pe (He)</t>
    <phoneticPr fontId="3"/>
  </si>
  <si>
    <t>Use Virial</t>
    <phoneticPr fontId="3"/>
  </si>
  <si>
    <t>Use REFPROP</t>
    <phoneticPr fontId="3"/>
  </si>
  <si>
    <t>Adsorption amount calculation</t>
    <phoneticPr fontId="3"/>
  </si>
  <si>
    <t>name of gas</t>
    <phoneticPr fontId="3"/>
  </si>
  <si>
    <t>ratio(%)</t>
    <phoneticPr fontId="3"/>
  </si>
  <si>
    <t>Individual component Pe (He)</t>
    <phoneticPr fontId="3"/>
  </si>
  <si>
    <t>Pe measue partial pressure. Cal.</t>
    <phoneticPr fontId="3"/>
  </si>
  <si>
    <t>Pi recalc.</t>
    <phoneticPr fontId="3"/>
  </si>
  <si>
    <t>Total</t>
    <phoneticPr fontId="3"/>
  </si>
  <si>
    <t>(VsA+VsB)</t>
    <phoneticPr fontId="3"/>
  </si>
  <si>
    <t>Dosing molar ratio calc</t>
    <phoneticPr fontId="3"/>
  </si>
  <si>
    <t xml:space="preserve">Cell for goal seeking </t>
    <phoneticPr fontId="3"/>
  </si>
  <si>
    <t>Pi(kPa)</t>
    <phoneticPr fontId="3"/>
  </si>
  <si>
    <t>Comp. factor setting or Connection gas</t>
  </si>
  <si>
    <t>REFPROP</t>
  </si>
  <si>
    <t>helium</t>
  </si>
  <si>
    <t>equilibrium time</t>
  </si>
  <si>
    <t>0.5kPa/10min</t>
  </si>
  <si>
    <t>Pi comp. factor</t>
  </si>
  <si>
    <t>Pe comp. factor</t>
  </si>
  <si>
    <t>Pe2 comp. factor</t>
  </si>
  <si>
    <t>VC-14</t>
  </si>
  <si>
    <t>Use</t>
  </si>
  <si>
    <t>Measure</t>
  </si>
  <si>
    <t>H2O</t>
  </si>
  <si>
    <t>Average of area value</t>
    <phoneticPr fontId="3"/>
  </si>
  <si>
    <r>
      <t>Area/Conc</t>
    </r>
    <r>
      <rPr>
        <sz val="9"/>
        <rFont val="ＭＳ Ｐ明朝"/>
        <family val="1"/>
        <charset val="128"/>
      </rPr>
      <t>％</t>
    </r>
    <phoneticPr fontId="3"/>
  </si>
  <si>
    <r>
      <rPr>
        <sz val="9"/>
        <rFont val="Arial"/>
        <family val="2"/>
      </rPr>
      <t>（</t>
    </r>
    <r>
      <rPr>
        <sz val="9"/>
        <rFont val="Times New Roman"/>
        <family val="1"/>
      </rPr>
      <t>ideal gas</t>
    </r>
    <r>
      <rPr>
        <sz val="9"/>
        <rFont val="Arial"/>
        <family val="2"/>
      </rPr>
      <t>）</t>
    </r>
    <phoneticPr fontId="3"/>
  </si>
  <si>
    <t>?C</t>
  </si>
  <si>
    <t>?C (TIC2)</t>
  </si>
  <si>
    <t>ads rate on</t>
  </si>
  <si>
    <t>&lt;2nd point&gt;</t>
  </si>
  <si>
    <t>&lt;3rd point&gt;</t>
  </si>
  <si>
    <t>Pi=2</t>
  </si>
  <si>
    <t>Pe=2</t>
  </si>
  <si>
    <t>Pi=3</t>
  </si>
  <si>
    <t>Pe=3</t>
  </si>
  <si>
    <t>C3H6</t>
  </si>
  <si>
    <t>run1</t>
  </si>
  <si>
    <t>propane</t>
  </si>
  <si>
    <t>propylene</t>
  </si>
  <si>
    <t>C3H8</t>
  </si>
  <si>
    <t>C:\Users\Admin\Documents\Data\XXX.CSV</t>
  </si>
  <si>
    <t>XXX</t>
  </si>
  <si>
    <t>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</si>
</sst>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#,##0.00_ ;[Red]\-#,##0.00\ "/>
    <numFmt numFmtId="165" formatCode="0.00_ ;[Red]\-0.00\ "/>
    <numFmt numFmtId="166" formatCode="0.0000E+00"/>
    <numFmt numFmtId="167" formatCode="#,##0.0;[Red]\-#,##0.0"/>
    <numFmt numFmtId="168" formatCode="0.00_ "/>
    <numFmt numFmtId="169" formatCode="0.000_ ;[Red]\-0.000\ "/>
    <numFmt numFmtId="170" formatCode="yyyy/mm/dd\ hh:mm;@"/>
    <numFmt numFmtId="171" formatCode="0.0%"/>
    <numFmt numFmtId="172" formatCode="0_);[Red]\(0\)"/>
  </numFmts>
  <fonts count="32">
    <font>
      <sz val="10"/>
      <name val="Arial"/>
      <family val="2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6"/>
      <name val="ＭＳ Ｐゴシック"/>
      <family val="3"/>
      <charset val="128"/>
    </font>
    <font>
      <sz val="11"/>
      <color rgb="FFFF0000"/>
      <name val="Calibri"/>
      <family val="3"/>
      <charset val="128"/>
      <scheme val="minor"/>
    </font>
    <font>
      <sz val="9"/>
      <name val="ＭＳ Ｐゴシック"/>
      <family val="3"/>
      <charset val="128"/>
    </font>
    <font>
      <sz val="9"/>
      <name val="Times New Roman"/>
      <family val="1"/>
    </font>
    <font>
      <sz val="9"/>
      <color indexed="10"/>
      <name val="Times New Roman"/>
      <family val="1"/>
    </font>
    <font>
      <b/>
      <sz val="9"/>
      <name val="Times New Roman"/>
      <family val="1"/>
    </font>
    <font>
      <sz val="9"/>
      <name val="ＭＳ Ｐ明朝"/>
      <family val="1"/>
      <charset val="128"/>
    </font>
    <font>
      <b/>
      <sz val="9"/>
      <color indexed="10"/>
      <name val="Times New Roman"/>
      <family val="1"/>
    </font>
    <font>
      <b/>
      <sz val="12"/>
      <color rgb="FF0000FF"/>
      <name val="Times New Roman"/>
      <family val="1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b/>
      <sz val="18"/>
      <color theme="3"/>
      <name val="Cambria"/>
      <family val="3"/>
      <charset val="128"/>
      <scheme val="major"/>
    </font>
    <font>
      <b/>
      <sz val="11"/>
      <color theme="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rgb="FFFA7D0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b/>
      <sz val="11"/>
      <color rgb="FFFA7D00"/>
      <name val="Calibri"/>
      <family val="3"/>
      <charset val="128"/>
      <scheme val="minor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b/>
      <sz val="11"/>
      <color theme="1"/>
      <name val="Calibri"/>
      <family val="3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i/>
      <sz val="11"/>
      <color rgb="FF7F7F7F"/>
      <name val="Calibri"/>
      <family val="3"/>
      <charset val="128"/>
      <scheme val="minor"/>
    </font>
    <font>
      <sz val="11"/>
      <color rgb="FF3F3F76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sz val="10"/>
      <name val="Arial"/>
      <family val="2"/>
    </font>
    <font>
      <sz val="9"/>
      <name val="Arial"/>
      <family val="2"/>
    </font>
    <font>
      <sz val="9"/>
      <color rgb="FF000000"/>
      <name val="MS UI Gothic"/>
      <family val="2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48">
    <xf numFmtId="0" fontId="0" fillId="0" borderId="0"/>
    <xf numFmtId="0" fontId="2" fillId="0" borderId="0">
      <alignment vertical="center"/>
    </xf>
    <xf numFmtId="0" fontId="1" fillId="0" borderId="0">
      <alignment vertical="center"/>
    </xf>
    <xf numFmtId="0" fontId="5" fillId="0" borderId="0"/>
    <xf numFmtId="9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12" fillId="25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7" borderId="27" applyNumberFormat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7" fillId="8" borderId="28" applyNumberFormat="0" applyFont="0" applyAlignment="0" applyProtection="0">
      <alignment vertical="center"/>
    </xf>
    <xf numFmtId="0" fontId="18" fillId="0" borderId="26" applyNumberFormat="0" applyFill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20" fillId="6" borderId="24" applyNumberForma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21" fillId="0" borderId="21" applyNumberFormat="0" applyFill="0" applyAlignment="0" applyProtection="0">
      <alignment vertical="center"/>
    </xf>
    <xf numFmtId="0" fontId="22" fillId="0" borderId="22" applyNumberFormat="0" applyFill="0" applyAlignment="0" applyProtection="0">
      <alignment vertical="center"/>
    </xf>
    <xf numFmtId="0" fontId="23" fillId="0" borderId="23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29" applyNumberFormat="0" applyFill="0" applyAlignment="0" applyProtection="0">
      <alignment vertical="center"/>
    </xf>
    <xf numFmtId="0" fontId="25" fillId="6" borderId="25" applyNumberFormat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5" borderId="24" applyNumberFormat="0" applyAlignment="0" applyProtection="0">
      <alignment vertical="center"/>
    </xf>
    <xf numFmtId="0" fontId="28" fillId="2" borderId="0" applyNumberFormat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</cellStyleXfs>
  <cellXfs count="128">
    <xf numFmtId="0" fontId="0" fillId="0" borderId="0" xfId="0"/>
    <xf numFmtId="0" fontId="6" fillId="0" borderId="0" xfId="3" applyFont="1" applyFill="1"/>
    <xf numFmtId="0" fontId="6" fillId="0" borderId="0" xfId="3" applyFont="1" applyFill="1" applyBorder="1"/>
    <xf numFmtId="0" fontId="6" fillId="0" borderId="2" xfId="3" applyFont="1" applyFill="1" applyBorder="1"/>
    <xf numFmtId="2" fontId="7" fillId="0" borderId="0" xfId="3" applyNumberFormat="1" applyFont="1" applyFill="1" applyBorder="1" applyAlignment="1">
      <alignment horizontal="center"/>
    </xf>
    <xf numFmtId="0" fontId="6" fillId="0" borderId="0" xfId="3" applyFont="1" applyFill="1" applyBorder="1" applyAlignment="1">
      <alignment horizontal="right"/>
    </xf>
    <xf numFmtId="10" fontId="6" fillId="0" borderId="0" xfId="4" applyNumberFormat="1" applyFont="1" applyFill="1" applyBorder="1" applyAlignment="1">
      <alignment horizontal="center"/>
    </xf>
    <xf numFmtId="164" fontId="6" fillId="0" borderId="0" xfId="5" applyNumberFormat="1" applyFont="1" applyFill="1" applyBorder="1" applyAlignment="1">
      <alignment horizontal="center"/>
    </xf>
    <xf numFmtId="165" fontId="6" fillId="0" borderId="0" xfId="5" applyNumberFormat="1" applyFont="1" applyFill="1" applyBorder="1" applyAlignment="1">
      <alignment horizontal="center"/>
    </xf>
    <xf numFmtId="166" fontId="6" fillId="0" borderId="0" xfId="3" applyNumberFormat="1" applyFont="1" applyFill="1" applyBorder="1" applyAlignment="1">
      <alignment horizontal="center"/>
    </xf>
    <xf numFmtId="0" fontId="6" fillId="0" borderId="0" xfId="5" applyNumberFormat="1" applyFont="1" applyFill="1" applyBorder="1" applyAlignment="1">
      <alignment horizontal="center"/>
    </xf>
    <xf numFmtId="9" fontId="6" fillId="0" borderId="0" xfId="3" applyNumberFormat="1" applyFont="1" applyFill="1" applyBorder="1"/>
    <xf numFmtId="0" fontId="6" fillId="0" borderId="0" xfId="3" applyFont="1" applyFill="1" applyBorder="1" applyAlignment="1">
      <alignment horizontal="center"/>
    </xf>
    <xf numFmtId="167" fontId="6" fillId="0" borderId="0" xfId="5" applyNumberFormat="1" applyFont="1" applyFill="1" applyBorder="1" applyAlignment="1">
      <alignment horizontal="center"/>
    </xf>
    <xf numFmtId="38" fontId="6" fillId="0" borderId="0" xfId="5" applyFont="1" applyFill="1" applyBorder="1" applyAlignment="1">
      <alignment horizontal="center"/>
    </xf>
    <xf numFmtId="0" fontId="6" fillId="0" borderId="5" xfId="3" applyFont="1" applyFill="1" applyBorder="1"/>
    <xf numFmtId="0" fontId="6" fillId="0" borderId="8" xfId="3" applyFont="1" applyFill="1" applyBorder="1"/>
    <xf numFmtId="0" fontId="6" fillId="0" borderId="1" xfId="3" applyFont="1" applyFill="1" applyBorder="1"/>
    <xf numFmtId="2" fontId="7" fillId="0" borderId="3" xfId="3" applyNumberFormat="1" applyFont="1" applyFill="1" applyBorder="1" applyAlignment="1">
      <alignment horizontal="center"/>
    </xf>
    <xf numFmtId="0" fontId="6" fillId="0" borderId="17" xfId="3" applyFont="1" applyFill="1" applyBorder="1" applyAlignment="1">
      <alignment horizontal="right"/>
    </xf>
    <xf numFmtId="0" fontId="6" fillId="0" borderId="17" xfId="3" applyFont="1" applyFill="1" applyBorder="1"/>
    <xf numFmtId="0" fontId="6" fillId="0" borderId="16" xfId="3" applyFont="1" applyFill="1" applyBorder="1"/>
    <xf numFmtId="0" fontId="6" fillId="0" borderId="7" xfId="3" applyFont="1" applyFill="1" applyBorder="1"/>
    <xf numFmtId="10" fontId="6" fillId="0" borderId="4" xfId="4" applyNumberFormat="1" applyFont="1" applyFill="1" applyBorder="1" applyAlignment="1">
      <alignment horizontal="center"/>
    </xf>
    <xf numFmtId="9" fontId="6" fillId="0" borderId="2" xfId="3" applyNumberFormat="1" applyFont="1" applyFill="1" applyBorder="1"/>
    <xf numFmtId="0" fontId="6" fillId="0" borderId="4" xfId="3" applyFont="1" applyFill="1" applyBorder="1" applyAlignment="1">
      <alignment horizontal="center"/>
    </xf>
    <xf numFmtId="0" fontId="6" fillId="0" borderId="4" xfId="3" applyFont="1" applyFill="1" applyBorder="1"/>
    <xf numFmtId="0" fontId="6" fillId="0" borderId="19" xfId="3" applyFont="1" applyFill="1" applyBorder="1"/>
    <xf numFmtId="0" fontId="6" fillId="0" borderId="18" xfId="3" applyFont="1" applyFill="1" applyBorder="1"/>
    <xf numFmtId="0" fontId="10" fillId="0" borderId="0" xfId="3" applyFont="1" applyFill="1"/>
    <xf numFmtId="0" fontId="10" fillId="0" borderId="0" xfId="3" applyFont="1" applyFill="1" applyBorder="1"/>
    <xf numFmtId="0" fontId="10" fillId="0" borderId="2" xfId="3" applyFont="1" applyFill="1" applyBorder="1"/>
    <xf numFmtId="0" fontId="6" fillId="0" borderId="8" xfId="3" applyFont="1" applyFill="1" applyBorder="1" applyAlignment="1" applyProtection="1">
      <alignment horizontal="center"/>
      <protection locked="0"/>
    </xf>
    <xf numFmtId="0" fontId="6" fillId="0" borderId="1" xfId="3" applyFont="1" applyFill="1" applyBorder="1" applyAlignment="1" applyProtection="1">
      <alignment horizontal="center"/>
      <protection locked="0"/>
    </xf>
    <xf numFmtId="0" fontId="6" fillId="0" borderId="30" xfId="3" applyFont="1" applyFill="1" applyBorder="1" applyProtection="1">
      <protection locked="0"/>
    </xf>
    <xf numFmtId="0" fontId="6" fillId="0" borderId="4" xfId="3" applyFont="1" applyFill="1" applyBorder="1" applyAlignment="1" applyProtection="1">
      <alignment horizontal="center"/>
      <protection locked="0"/>
    </xf>
    <xf numFmtId="0" fontId="6" fillId="0" borderId="0" xfId="3" applyFont="1" applyFill="1" applyBorder="1" applyAlignment="1" applyProtection="1">
      <alignment horizontal="center"/>
      <protection locked="0"/>
    </xf>
    <xf numFmtId="0" fontId="6" fillId="0" borderId="31" xfId="3" applyFont="1" applyFill="1" applyBorder="1" applyProtection="1">
      <protection locked="0"/>
    </xf>
    <xf numFmtId="168" fontId="6" fillId="0" borderId="0" xfId="3" applyNumberFormat="1" applyFont="1" applyFill="1" applyBorder="1" applyAlignment="1" applyProtection="1">
      <alignment horizontal="center"/>
      <protection locked="0"/>
    </xf>
    <xf numFmtId="11" fontId="6" fillId="0" borderId="0" xfId="3" applyNumberFormat="1" applyFont="1" applyFill="1" applyBorder="1" applyAlignment="1" applyProtection="1">
      <alignment horizontal="center"/>
      <protection locked="0"/>
    </xf>
    <xf numFmtId="0" fontId="6" fillId="0" borderId="32" xfId="3" applyFont="1" applyFill="1" applyBorder="1" applyAlignment="1" applyProtection="1">
      <alignment horizontal="center"/>
      <protection locked="0"/>
    </xf>
    <xf numFmtId="0" fontId="6" fillId="0" borderId="15" xfId="3" applyFont="1" applyFill="1" applyBorder="1" applyAlignment="1" applyProtection="1">
      <alignment horizontal="center"/>
      <protection locked="0"/>
    </xf>
    <xf numFmtId="0" fontId="6" fillId="0" borderId="33" xfId="3" applyFont="1" applyFill="1" applyBorder="1" applyProtection="1">
      <protection locked="0"/>
    </xf>
    <xf numFmtId="0" fontId="6" fillId="0" borderId="19" xfId="3" applyFont="1" applyFill="1" applyBorder="1" applyAlignment="1" applyProtection="1">
      <alignment horizontal="center"/>
      <protection locked="0"/>
    </xf>
    <xf numFmtId="0" fontId="6" fillId="0" borderId="5" xfId="3" applyFont="1" applyFill="1" applyBorder="1" applyAlignment="1" applyProtection="1">
      <alignment horizontal="center"/>
      <protection locked="0"/>
    </xf>
    <xf numFmtId="0" fontId="6" fillId="0" borderId="34" xfId="3" applyFont="1" applyFill="1" applyBorder="1" applyProtection="1">
      <protection locked="0"/>
    </xf>
    <xf numFmtId="0" fontId="8" fillId="0" borderId="0" xfId="3" applyFont="1" applyFill="1" applyBorder="1"/>
    <xf numFmtId="0" fontId="6" fillId="0" borderId="0" xfId="3" applyFont="1" applyFill="1" applyProtection="1">
      <protection locked="0"/>
    </xf>
    <xf numFmtId="0" fontId="6" fillId="0" borderId="0" xfId="3" applyFont="1" applyFill="1" applyBorder="1" applyProtection="1">
      <protection locked="0"/>
    </xf>
    <xf numFmtId="0" fontId="6" fillId="0" borderId="2" xfId="3" applyFont="1" applyFill="1" applyBorder="1" applyAlignment="1">
      <alignment horizontal="center"/>
    </xf>
    <xf numFmtId="0" fontId="6" fillId="0" borderId="0" xfId="3" applyFont="1" applyFill="1" applyAlignment="1">
      <alignment horizontal="center"/>
    </xf>
    <xf numFmtId="0" fontId="6" fillId="0" borderId="0" xfId="3" applyNumberFormat="1" applyFont="1" applyFill="1" applyBorder="1" applyAlignment="1">
      <alignment horizontal="center"/>
    </xf>
    <xf numFmtId="0" fontId="8" fillId="0" borderId="2" xfId="3" applyFont="1" applyFill="1" applyBorder="1" applyAlignment="1"/>
    <xf numFmtId="10" fontId="6" fillId="0" borderId="2" xfId="4" applyNumberFormat="1" applyFont="1" applyFill="1" applyBorder="1" applyAlignment="1">
      <alignment horizontal="center"/>
    </xf>
    <xf numFmtId="168" fontId="6" fillId="0" borderId="0" xfId="3" applyNumberFormat="1" applyFont="1" applyFill="1" applyBorder="1" applyAlignment="1">
      <alignment horizontal="center"/>
    </xf>
    <xf numFmtId="168" fontId="6" fillId="0" borderId="2" xfId="3" applyNumberFormat="1" applyFont="1" applyFill="1" applyBorder="1" applyAlignment="1">
      <alignment horizontal="center"/>
    </xf>
    <xf numFmtId="0" fontId="6" fillId="0" borderId="2" xfId="3" applyNumberFormat="1" applyFont="1" applyFill="1" applyBorder="1"/>
    <xf numFmtId="10" fontId="6" fillId="0" borderId="1" xfId="4" applyNumberFormat="1" applyFont="1" applyFill="1" applyBorder="1" applyAlignment="1">
      <alignment horizontal="center"/>
    </xf>
    <xf numFmtId="10" fontId="6" fillId="0" borderId="7" xfId="4" applyNumberFormat="1" applyFont="1" applyFill="1" applyBorder="1" applyAlignment="1">
      <alignment horizontal="center"/>
    </xf>
    <xf numFmtId="0" fontId="6" fillId="0" borderId="1" xfId="3" applyNumberFormat="1" applyFont="1" applyFill="1" applyBorder="1" applyAlignment="1">
      <alignment horizontal="center"/>
    </xf>
    <xf numFmtId="0" fontId="6" fillId="0" borderId="7" xfId="3" applyNumberFormat="1" applyFont="1" applyFill="1" applyBorder="1" applyAlignment="1">
      <alignment horizontal="center"/>
    </xf>
    <xf numFmtId="168" fontId="6" fillId="0" borderId="1" xfId="3" applyNumberFormat="1" applyFont="1" applyFill="1" applyBorder="1" applyAlignment="1">
      <alignment horizontal="center"/>
    </xf>
    <xf numFmtId="168" fontId="6" fillId="0" borderId="7" xfId="3" applyNumberFormat="1" applyFont="1" applyFill="1" applyBorder="1" applyAlignment="1">
      <alignment horizontal="center"/>
    </xf>
    <xf numFmtId="0" fontId="6" fillId="0" borderId="7" xfId="3" applyNumberFormat="1" applyFont="1" applyFill="1" applyBorder="1" applyAlignment="1">
      <alignment horizontal="left"/>
    </xf>
    <xf numFmtId="0" fontId="6" fillId="0" borderId="1" xfId="3" applyNumberFormat="1" applyFont="1" applyFill="1" applyBorder="1"/>
    <xf numFmtId="0" fontId="6" fillId="0" borderId="2" xfId="3" applyNumberFormat="1" applyFont="1" applyFill="1" applyBorder="1" applyAlignment="1"/>
    <xf numFmtId="0" fontId="6" fillId="0" borderId="0" xfId="3" applyFont="1" applyFill="1" applyBorder="1" applyAlignment="1"/>
    <xf numFmtId="0" fontId="6" fillId="0" borderId="0" xfId="4" applyNumberFormat="1" applyFont="1" applyFill="1" applyBorder="1" applyAlignment="1"/>
    <xf numFmtId="0" fontId="6" fillId="0" borderId="0" xfId="3" applyNumberFormat="1" applyFont="1" applyFill="1" applyBorder="1" applyAlignment="1"/>
    <xf numFmtId="169" fontId="6" fillId="0" borderId="0" xfId="5" applyNumberFormat="1" applyFont="1" applyFill="1" applyBorder="1" applyAlignment="1">
      <alignment horizontal="center"/>
    </xf>
    <xf numFmtId="0" fontId="6" fillId="0" borderId="11" xfId="3" applyFont="1" applyFill="1" applyBorder="1"/>
    <xf numFmtId="0" fontId="6" fillId="0" borderId="12" xfId="3" applyFont="1" applyFill="1" applyBorder="1"/>
    <xf numFmtId="165" fontId="6" fillId="0" borderId="12" xfId="5" applyNumberFormat="1" applyFont="1" applyFill="1" applyBorder="1" applyAlignment="1">
      <alignment horizontal="center"/>
    </xf>
    <xf numFmtId="10" fontId="6" fillId="0" borderId="13" xfId="3" applyNumberFormat="1" applyFont="1" applyFill="1" applyBorder="1"/>
    <xf numFmtId="0" fontId="6" fillId="0" borderId="20" xfId="3" applyFont="1" applyFill="1" applyBorder="1"/>
    <xf numFmtId="0" fontId="6" fillId="0" borderId="14" xfId="3" applyFont="1" applyFill="1" applyBorder="1"/>
    <xf numFmtId="0" fontId="6" fillId="0" borderId="35" xfId="3" applyFont="1" applyFill="1" applyBorder="1"/>
    <xf numFmtId="0" fontId="6" fillId="0" borderId="36" xfId="3" applyFont="1" applyFill="1" applyBorder="1"/>
    <xf numFmtId="0" fontId="6" fillId="0" borderId="36" xfId="3" applyFont="1" applyFill="1" applyBorder="1" applyAlignment="1">
      <alignment horizontal="center"/>
    </xf>
    <xf numFmtId="0" fontId="6" fillId="0" borderId="37" xfId="3" applyFont="1" applyFill="1" applyBorder="1" applyAlignment="1">
      <alignment horizontal="center"/>
    </xf>
    <xf numFmtId="0" fontId="6" fillId="0" borderId="12" xfId="3" applyFont="1" applyFill="1" applyBorder="1" applyAlignment="1">
      <alignment horizontal="center"/>
    </xf>
    <xf numFmtId="0" fontId="6" fillId="0" borderId="2" xfId="4" applyNumberFormat="1" applyFont="1" applyFill="1" applyBorder="1" applyAlignment="1"/>
    <xf numFmtId="0" fontId="6" fillId="0" borderId="2" xfId="3" applyFont="1" applyFill="1" applyBorder="1" applyAlignment="1"/>
    <xf numFmtId="0" fontId="6" fillId="0" borderId="9" xfId="3" applyFont="1" applyFill="1" applyBorder="1"/>
    <xf numFmtId="0" fontId="6" fillId="0" borderId="6" xfId="3" applyFont="1" applyFill="1" applyBorder="1"/>
    <xf numFmtId="0" fontId="6" fillId="0" borderId="10" xfId="3" applyFont="1" applyFill="1" applyBorder="1"/>
    <xf numFmtId="0" fontId="6" fillId="0" borderId="13" xfId="3" applyFont="1" applyFill="1" applyBorder="1"/>
    <xf numFmtId="0" fontId="10" fillId="0" borderId="0" xfId="3" applyFont="1" applyFill="1" applyBorder="1" applyProtection="1"/>
    <xf numFmtId="0" fontId="6" fillId="0" borderId="0" xfId="3" applyFont="1" applyFill="1" applyAlignment="1">
      <alignment vertical="center"/>
    </xf>
    <xf numFmtId="0" fontId="6" fillId="0" borderId="18" xfId="3" applyFont="1" applyFill="1" applyBorder="1" applyAlignment="1" applyProtection="1">
      <alignment horizontal="center"/>
      <protection locked="0"/>
    </xf>
    <xf numFmtId="0" fontId="6" fillId="0" borderId="2" xfId="3" applyFont="1" applyFill="1" applyBorder="1" applyAlignment="1" applyProtection="1">
      <alignment horizontal="center"/>
      <protection locked="0"/>
    </xf>
    <xf numFmtId="0" fontId="6" fillId="0" borderId="0" xfId="3" applyFont="1" applyFill="1" applyAlignment="1">
      <alignment horizontal="center" vertical="center"/>
    </xf>
    <xf numFmtId="0" fontId="6" fillId="0" borderId="2" xfId="3" applyNumberFormat="1" applyFont="1" applyFill="1" applyBorder="1" applyAlignment="1">
      <alignment horizontal="right"/>
    </xf>
    <xf numFmtId="0" fontId="6" fillId="0" borderId="0" xfId="3" applyNumberFormat="1" applyFont="1" applyFill="1" applyBorder="1" applyAlignment="1">
      <alignment horizontal="right"/>
    </xf>
    <xf numFmtId="168" fontId="6" fillId="0" borderId="0" xfId="3" applyNumberFormat="1" applyFont="1" applyFill="1" applyBorder="1" applyAlignment="1">
      <alignment horizontal="right"/>
    </xf>
    <xf numFmtId="168" fontId="6" fillId="0" borderId="2" xfId="3" applyNumberFormat="1" applyFont="1" applyFill="1" applyBorder="1" applyAlignment="1">
      <alignment horizontal="right"/>
    </xf>
    <xf numFmtId="40" fontId="6" fillId="0" borderId="2" xfId="5" applyNumberFormat="1" applyFont="1" applyFill="1" applyBorder="1" applyAlignment="1">
      <alignment horizontal="right"/>
    </xf>
    <xf numFmtId="40" fontId="6" fillId="0" borderId="0" xfId="5" applyNumberFormat="1" applyFont="1" applyFill="1" applyBorder="1" applyAlignment="1">
      <alignment horizontal="right"/>
    </xf>
    <xf numFmtId="0" fontId="6" fillId="0" borderId="0" xfId="4" applyNumberFormat="1" applyFont="1" applyFill="1" applyBorder="1" applyAlignment="1">
      <alignment horizontal="right"/>
    </xf>
    <xf numFmtId="10" fontId="6" fillId="0" borderId="2" xfId="4" applyNumberFormat="1" applyFont="1" applyFill="1" applyBorder="1" applyAlignment="1">
      <alignment horizontal="right"/>
    </xf>
    <xf numFmtId="10" fontId="6" fillId="0" borderId="0" xfId="4" applyNumberFormat="1" applyFont="1" applyFill="1" applyBorder="1" applyAlignment="1">
      <alignment horizontal="right"/>
    </xf>
    <xf numFmtId="170" fontId="6" fillId="0" borderId="0" xfId="3" applyNumberFormat="1" applyFont="1" applyFill="1" applyBorder="1" applyAlignment="1">
      <alignment horizontal="right"/>
    </xf>
    <xf numFmtId="170" fontId="6" fillId="0" borderId="1" xfId="3" applyNumberFormat="1" applyFont="1" applyFill="1" applyBorder="1" applyAlignment="1">
      <alignment horizontal="right"/>
    </xf>
    <xf numFmtId="11" fontId="6" fillId="0" borderId="0" xfId="3" applyNumberFormat="1" applyFont="1" applyFill="1" applyAlignment="1">
      <alignment horizontal="center"/>
    </xf>
    <xf numFmtId="11" fontId="6" fillId="0" borderId="0" xfId="3" applyNumberFormat="1" applyFont="1" applyFill="1" applyBorder="1" applyAlignment="1">
      <alignment horizontal="center"/>
    </xf>
    <xf numFmtId="171" fontId="8" fillId="0" borderId="2" xfId="47" applyNumberFormat="1" applyFont="1" applyFill="1" applyBorder="1" applyAlignment="1"/>
    <xf numFmtId="171" fontId="6" fillId="0" borderId="2" xfId="47" applyNumberFormat="1" applyFont="1" applyFill="1" applyBorder="1" applyAlignment="1">
      <alignment horizontal="center"/>
    </xf>
    <xf numFmtId="10" fontId="6" fillId="0" borderId="0" xfId="3" applyNumberFormat="1" applyFont="1" applyFill="1" applyBorder="1"/>
    <xf numFmtId="0" fontId="6" fillId="32" borderId="0" xfId="3" applyFont="1" applyFill="1" applyBorder="1"/>
    <xf numFmtId="172" fontId="6" fillId="0" borderId="0" xfId="3" applyNumberFormat="1" applyFont="1" applyFill="1" applyBorder="1" applyAlignment="1"/>
    <xf numFmtId="172" fontId="6" fillId="0" borderId="0" xfId="3" applyNumberFormat="1" applyFont="1" applyFill="1" applyBorder="1" applyAlignment="1">
      <alignment horizontal="center"/>
    </xf>
    <xf numFmtId="172" fontId="6" fillId="0" borderId="1" xfId="3" applyNumberFormat="1" applyFont="1" applyFill="1" applyBorder="1" applyAlignment="1">
      <alignment horizontal="center"/>
    </xf>
    <xf numFmtId="172" fontId="6" fillId="0" borderId="0" xfId="3" applyNumberFormat="1" applyFont="1" applyFill="1" applyBorder="1" applyAlignment="1">
      <alignment horizontal="right"/>
    </xf>
    <xf numFmtId="0" fontId="6" fillId="0" borderId="0" xfId="3" applyNumberFormat="1" applyFont="1" applyFill="1" applyBorder="1" applyAlignment="1">
      <alignment horizontal="left"/>
    </xf>
    <xf numFmtId="0" fontId="6" fillId="0" borderId="2" xfId="3" applyNumberFormat="1" applyFont="1" applyFill="1" applyBorder="1" applyAlignment="1">
      <alignment horizontal="left"/>
    </xf>
    <xf numFmtId="172" fontId="6" fillId="0" borderId="0" xfId="3" applyNumberFormat="1" applyFont="1" applyFill="1" applyBorder="1" applyAlignment="1">
      <alignment horizontal="left"/>
    </xf>
    <xf numFmtId="170" fontId="6" fillId="0" borderId="0" xfId="3" applyNumberFormat="1" applyFont="1" applyFill="1" applyBorder="1" applyAlignment="1">
      <alignment horizontal="left"/>
    </xf>
    <xf numFmtId="0" fontId="6" fillId="0" borderId="0" xfId="4" applyNumberFormat="1" applyFont="1" applyFill="1" applyBorder="1" applyAlignment="1">
      <alignment horizontal="left"/>
    </xf>
    <xf numFmtId="0" fontId="6" fillId="0" borderId="2" xfId="4" applyNumberFormat="1" applyFont="1" applyFill="1" applyBorder="1" applyAlignment="1">
      <alignment horizontal="left"/>
    </xf>
    <xf numFmtId="0" fontId="6" fillId="0" borderId="0" xfId="3" applyFont="1" applyFill="1" applyBorder="1" applyAlignment="1">
      <alignment horizontal="left"/>
    </xf>
    <xf numFmtId="0" fontId="6" fillId="0" borderId="2" xfId="3" applyFont="1" applyFill="1" applyBorder="1" applyAlignment="1">
      <alignment horizontal="left"/>
    </xf>
    <xf numFmtId="0" fontId="6" fillId="3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Fill="1" applyAlignment="1">
      <alignment vertical="center"/>
    </xf>
    <xf numFmtId="14" fontId="0" fillId="0" borderId="0" xfId="0" applyNumberFormat="1"/>
    <xf numFmtId="22" fontId="0" fillId="0" borderId="0" xfId="0" applyNumberFormat="1"/>
    <xf numFmtId="9" fontId="0" fillId="0" borderId="0" xfId="0" applyNumberFormat="1"/>
    <xf numFmtId="11" fontId="0" fillId="0" borderId="0" xfId="0" applyNumberFormat="1"/>
  </cellXfs>
  <cellStyles count="48">
    <cellStyle name="20% - アクセント 1 2" xfId="6" xr:uid="{00000000-0005-0000-0000-000000000000}"/>
    <cellStyle name="20% - アクセント 2 2" xfId="7" xr:uid="{00000000-0005-0000-0000-000001000000}"/>
    <cellStyle name="20% - アクセント 3 2" xfId="8" xr:uid="{00000000-0005-0000-0000-000002000000}"/>
    <cellStyle name="20% - アクセント 4 2" xfId="9" xr:uid="{00000000-0005-0000-0000-000003000000}"/>
    <cellStyle name="20% - アクセント 5 2" xfId="10" xr:uid="{00000000-0005-0000-0000-000004000000}"/>
    <cellStyle name="20% - アクセント 6 2" xfId="11" xr:uid="{00000000-0005-0000-0000-000005000000}"/>
    <cellStyle name="40% - アクセント 1 2" xfId="12" xr:uid="{00000000-0005-0000-0000-000006000000}"/>
    <cellStyle name="40% - アクセント 2 2" xfId="13" xr:uid="{00000000-0005-0000-0000-000007000000}"/>
    <cellStyle name="40% - アクセント 3 2" xfId="14" xr:uid="{00000000-0005-0000-0000-000008000000}"/>
    <cellStyle name="40% - アクセント 4 2" xfId="15" xr:uid="{00000000-0005-0000-0000-000009000000}"/>
    <cellStyle name="40% - アクセント 5 2" xfId="16" xr:uid="{00000000-0005-0000-0000-00000A000000}"/>
    <cellStyle name="40% - アクセント 6 2" xfId="17" xr:uid="{00000000-0005-0000-0000-00000B000000}"/>
    <cellStyle name="60% - アクセント 1 2" xfId="18" xr:uid="{00000000-0005-0000-0000-00000C000000}"/>
    <cellStyle name="60% - アクセント 2 2" xfId="19" xr:uid="{00000000-0005-0000-0000-00000D000000}"/>
    <cellStyle name="60% - アクセント 3 2" xfId="20" xr:uid="{00000000-0005-0000-0000-00000E000000}"/>
    <cellStyle name="60% - アクセント 4 2" xfId="21" xr:uid="{00000000-0005-0000-0000-00000F000000}"/>
    <cellStyle name="60% - アクセント 5 2" xfId="22" xr:uid="{00000000-0005-0000-0000-000010000000}"/>
    <cellStyle name="60% - アクセント 6 2" xfId="23" xr:uid="{00000000-0005-0000-0000-000011000000}"/>
    <cellStyle name="Normal" xfId="0" builtinId="0"/>
    <cellStyle name="Per cent" xfId="47" builtinId="5"/>
    <cellStyle name="アクセント 1 2" xfId="24" xr:uid="{00000000-0005-0000-0000-000015000000}"/>
    <cellStyle name="アクセント 2 2" xfId="25" xr:uid="{00000000-0005-0000-0000-000016000000}"/>
    <cellStyle name="アクセント 3 2" xfId="26" xr:uid="{00000000-0005-0000-0000-000017000000}"/>
    <cellStyle name="アクセント 4 2" xfId="27" xr:uid="{00000000-0005-0000-0000-000018000000}"/>
    <cellStyle name="アクセント 5 2" xfId="28" xr:uid="{00000000-0005-0000-0000-000019000000}"/>
    <cellStyle name="アクセント 6 2" xfId="29" xr:uid="{00000000-0005-0000-0000-00001A000000}"/>
    <cellStyle name="タイトル 2" xfId="30" xr:uid="{00000000-0005-0000-0000-00001B000000}"/>
    <cellStyle name="チェック セル 2" xfId="31" xr:uid="{00000000-0005-0000-0000-00001C000000}"/>
    <cellStyle name="どちらでもない 2" xfId="32" xr:uid="{00000000-0005-0000-0000-00001D000000}"/>
    <cellStyle name="パーセント 2" xfId="4" xr:uid="{00000000-0005-0000-0000-00001E000000}"/>
    <cellStyle name="メモ 2" xfId="33" xr:uid="{00000000-0005-0000-0000-00001F000000}"/>
    <cellStyle name="リンク セル 2" xfId="34" xr:uid="{00000000-0005-0000-0000-000020000000}"/>
    <cellStyle name="入力 2" xfId="45" xr:uid="{00000000-0005-0000-0000-000021000000}"/>
    <cellStyle name="出力 2" xfId="43" xr:uid="{00000000-0005-0000-0000-000022000000}"/>
    <cellStyle name="悪い 2" xfId="35" xr:uid="{00000000-0005-0000-0000-000023000000}"/>
    <cellStyle name="桁区切り 2" xfId="5" xr:uid="{00000000-0005-0000-0000-000024000000}"/>
    <cellStyle name="標準 2" xfId="1" xr:uid="{00000000-0005-0000-0000-000025000000}"/>
    <cellStyle name="標準 3" xfId="2" xr:uid="{00000000-0005-0000-0000-000026000000}"/>
    <cellStyle name="標準 4" xfId="3" xr:uid="{00000000-0005-0000-0000-000027000000}"/>
    <cellStyle name="良い 2" xfId="46" xr:uid="{00000000-0005-0000-0000-000028000000}"/>
    <cellStyle name="見出し 1 2" xfId="38" xr:uid="{00000000-0005-0000-0000-000029000000}"/>
    <cellStyle name="見出し 2 2" xfId="39" xr:uid="{00000000-0005-0000-0000-00002A000000}"/>
    <cellStyle name="見出し 3 2" xfId="40" xr:uid="{00000000-0005-0000-0000-00002B000000}"/>
    <cellStyle name="見出し 4 2" xfId="41" xr:uid="{00000000-0005-0000-0000-00002C000000}"/>
    <cellStyle name="計算 2" xfId="36" xr:uid="{00000000-0005-0000-0000-00002D000000}"/>
    <cellStyle name="説明文 2" xfId="44" xr:uid="{00000000-0005-0000-0000-00002E000000}"/>
    <cellStyle name="警告文 2" xfId="37" xr:uid="{00000000-0005-0000-0000-00002F000000}"/>
    <cellStyle name="集計 2" xfId="42" xr:uid="{00000000-0005-0000-0000-000030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1199490436677"/>
          <c:y val="0.107255603108675"/>
          <c:w val="0.80492125925128177"/>
          <c:h val="0.78233498738092355"/>
        </c:manualLayout>
      </c:layout>
      <c:scatterChart>
        <c:scatterStyle val="lineMarker"/>
        <c:varyColors val="0"/>
        <c:ser>
          <c:idx val="0"/>
          <c:order val="0"/>
          <c:tx>
            <c:strRef>
              <c:f>'GC calc'!$G$3</c:f>
              <c:strCache>
                <c:ptCount val="1"/>
                <c:pt idx="0">
                  <c:v>propane</c:v>
                </c:pt>
              </c:strCache>
            </c:strRef>
          </c:tx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'GC calc'!$F$4:$F$993</c:f>
              <c:numCache>
                <c:formatCode>General</c:formatCode>
                <c:ptCount val="9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</c:numCache>
            </c:numRef>
          </c:xVal>
          <c:yVal>
            <c:numRef>
              <c:f>'GC calc'!$G$4:$G$991</c:f>
              <c:numCache>
                <c:formatCode>0.00E+00</c:formatCode>
                <c:ptCount val="988"/>
                <c:pt idx="0">
                  <c:v>3287900</c:v>
                </c:pt>
                <c:pt idx="1">
                  <c:v>3287900</c:v>
                </c:pt>
                <c:pt idx="2">
                  <c:v>3287900</c:v>
                </c:pt>
                <c:pt idx="3">
                  <c:v>3287900</c:v>
                </c:pt>
                <c:pt idx="4">
                  <c:v>3287900</c:v>
                </c:pt>
                <c:pt idx="5">
                  <c:v>1932780</c:v>
                </c:pt>
                <c:pt idx="6">
                  <c:v>1932780</c:v>
                </c:pt>
                <c:pt idx="7">
                  <c:v>1932780</c:v>
                </c:pt>
                <c:pt idx="8">
                  <c:v>1932780</c:v>
                </c:pt>
                <c:pt idx="9">
                  <c:v>1932780</c:v>
                </c:pt>
                <c:pt idx="10">
                  <c:v>3188800</c:v>
                </c:pt>
                <c:pt idx="11">
                  <c:v>3188800</c:v>
                </c:pt>
                <c:pt idx="12">
                  <c:v>3188800</c:v>
                </c:pt>
                <c:pt idx="13">
                  <c:v>3188800</c:v>
                </c:pt>
                <c:pt idx="14">
                  <c:v>3188800</c:v>
                </c:pt>
                <c:pt idx="15">
                  <c:v>2063840</c:v>
                </c:pt>
                <c:pt idx="16">
                  <c:v>2063840</c:v>
                </c:pt>
                <c:pt idx="17">
                  <c:v>2063840</c:v>
                </c:pt>
                <c:pt idx="18">
                  <c:v>2063840</c:v>
                </c:pt>
                <c:pt idx="19">
                  <c:v>2063840</c:v>
                </c:pt>
                <c:pt idx="20">
                  <c:v>9285680</c:v>
                </c:pt>
                <c:pt idx="21">
                  <c:v>9285680</c:v>
                </c:pt>
                <c:pt idx="22">
                  <c:v>9285680</c:v>
                </c:pt>
                <c:pt idx="23">
                  <c:v>9285680</c:v>
                </c:pt>
                <c:pt idx="24">
                  <c:v>9285680</c:v>
                </c:pt>
                <c:pt idx="25">
                  <c:v>8781390</c:v>
                </c:pt>
                <c:pt idx="26">
                  <c:v>8781390</c:v>
                </c:pt>
                <c:pt idx="27">
                  <c:v>8781390</c:v>
                </c:pt>
                <c:pt idx="28">
                  <c:v>8781390</c:v>
                </c:pt>
                <c:pt idx="29">
                  <c:v>8781390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4F-41B8-A630-6ABBFB3ACC37}"/>
            </c:ext>
          </c:extLst>
        </c:ser>
        <c:ser>
          <c:idx val="1"/>
          <c:order val="1"/>
          <c:tx>
            <c:strRef>
              <c:f>'GC calc'!$H$3</c:f>
              <c:strCache>
                <c:ptCount val="1"/>
                <c:pt idx="0">
                  <c:v>propylene</c:v>
                </c:pt>
              </c:strCache>
            </c:strRef>
          </c:tx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'GC calc'!$F$4:$F$993</c:f>
              <c:numCache>
                <c:formatCode>General</c:formatCode>
                <c:ptCount val="9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</c:numCache>
            </c:numRef>
          </c:xVal>
          <c:yVal>
            <c:numRef>
              <c:f>'GC calc'!$H$4:$H$991</c:f>
              <c:numCache>
                <c:formatCode>0.00E+00</c:formatCode>
                <c:ptCount val="988"/>
                <c:pt idx="0">
                  <c:v>6344780</c:v>
                </c:pt>
                <c:pt idx="1">
                  <c:v>6344780</c:v>
                </c:pt>
                <c:pt idx="2">
                  <c:v>6344780</c:v>
                </c:pt>
                <c:pt idx="3">
                  <c:v>6344780</c:v>
                </c:pt>
                <c:pt idx="4">
                  <c:v>6344780</c:v>
                </c:pt>
                <c:pt idx="5">
                  <c:v>4702600</c:v>
                </c:pt>
                <c:pt idx="6">
                  <c:v>4702600</c:v>
                </c:pt>
                <c:pt idx="7">
                  <c:v>4702600</c:v>
                </c:pt>
                <c:pt idx="8">
                  <c:v>4702600</c:v>
                </c:pt>
                <c:pt idx="9">
                  <c:v>4702600</c:v>
                </c:pt>
                <c:pt idx="10">
                  <c:v>9049300</c:v>
                </c:pt>
                <c:pt idx="11">
                  <c:v>9049300</c:v>
                </c:pt>
                <c:pt idx="12">
                  <c:v>9049300</c:v>
                </c:pt>
                <c:pt idx="13">
                  <c:v>9049300</c:v>
                </c:pt>
                <c:pt idx="14">
                  <c:v>9049300</c:v>
                </c:pt>
                <c:pt idx="15">
                  <c:v>6934420</c:v>
                </c:pt>
                <c:pt idx="16">
                  <c:v>6934420</c:v>
                </c:pt>
                <c:pt idx="17">
                  <c:v>6934420</c:v>
                </c:pt>
                <c:pt idx="18">
                  <c:v>6934420</c:v>
                </c:pt>
                <c:pt idx="19">
                  <c:v>6934420</c:v>
                </c:pt>
                <c:pt idx="20">
                  <c:v>10776000</c:v>
                </c:pt>
                <c:pt idx="21">
                  <c:v>10776000</c:v>
                </c:pt>
                <c:pt idx="22">
                  <c:v>10776000</c:v>
                </c:pt>
                <c:pt idx="23">
                  <c:v>10776000</c:v>
                </c:pt>
                <c:pt idx="24">
                  <c:v>10776000</c:v>
                </c:pt>
                <c:pt idx="25">
                  <c:v>10675700</c:v>
                </c:pt>
                <c:pt idx="26">
                  <c:v>10675700</c:v>
                </c:pt>
                <c:pt idx="27">
                  <c:v>10675700</c:v>
                </c:pt>
                <c:pt idx="28">
                  <c:v>10675700</c:v>
                </c:pt>
                <c:pt idx="29">
                  <c:v>10675700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4F-41B8-A630-6ABBFB3ACC37}"/>
            </c:ext>
          </c:extLst>
        </c:ser>
        <c:ser>
          <c:idx val="2"/>
          <c:order val="2"/>
          <c:tx>
            <c:strRef>
              <c:f>'GC calc'!$I$3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  <a:prstDash val="solid"/>
              </a:ln>
            </c:spPr>
          </c:marker>
          <c:xVal>
            <c:numRef>
              <c:f>'GC calc'!$F$4:$F$993</c:f>
              <c:numCache>
                <c:formatCode>General</c:formatCode>
                <c:ptCount val="9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</c:numCache>
            </c:numRef>
          </c:xVal>
          <c:yVal>
            <c:numRef>
              <c:f>'GC calc'!$I$4:$I$983</c:f>
              <c:numCache>
                <c:formatCode>General</c:formatCode>
                <c:ptCount val="98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4F-41B8-A630-6ABBFB3ACC37}"/>
            </c:ext>
          </c:extLst>
        </c:ser>
        <c:ser>
          <c:idx val="3"/>
          <c:order val="3"/>
          <c:tx>
            <c:strRef>
              <c:f>'GC calc'!$J$3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'GC calc'!$F$4:$F$993</c:f>
              <c:numCache>
                <c:formatCode>General</c:formatCode>
                <c:ptCount val="9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</c:numCache>
            </c:numRef>
          </c:xVal>
          <c:yVal>
            <c:numRef>
              <c:f>'GC calc'!$J$4:$J$983</c:f>
              <c:numCache>
                <c:formatCode>General</c:formatCode>
                <c:ptCount val="98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54F-41B8-A630-6ABBFB3AC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19168"/>
        <c:axId val="134712640"/>
      </c:scatterChart>
      <c:valAx>
        <c:axId val="134719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en-US"/>
                  <a:t>number of data[N]</a:t>
                </a:r>
              </a:p>
            </c:rich>
          </c:tx>
          <c:layout>
            <c:manualLayout>
              <c:xMode val="edge"/>
              <c:yMode val="edge"/>
              <c:x val="0.4884667650374549"/>
              <c:y val="0.930327794199226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4712640"/>
        <c:crosses val="autoZero"/>
        <c:crossBetween val="midCat"/>
      </c:valAx>
      <c:valAx>
        <c:axId val="134712640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ja-JP"/>
                  <a:t>area value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2.1709562424099972E-2"/>
              <c:y val="0.4323770254270266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471916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596575631077545"/>
          <c:y val="0.3927448106841534"/>
          <c:w val="0.1049636812712363"/>
          <c:h val="0.2289153742061471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825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1199490436677"/>
          <c:y val="0.107255603108675"/>
          <c:w val="0.80492125925128177"/>
          <c:h val="0.78233498738092355"/>
        </c:manualLayout>
      </c:layout>
      <c:scatterChart>
        <c:scatterStyle val="lineMarker"/>
        <c:varyColors val="0"/>
        <c:ser>
          <c:idx val="0"/>
          <c:order val="0"/>
          <c:tx>
            <c:strRef>
              <c:f>'GC calc'!$G$3</c:f>
              <c:strCache>
                <c:ptCount val="1"/>
                <c:pt idx="0">
                  <c:v>propane</c:v>
                </c:pt>
              </c:strCache>
            </c:strRef>
          </c:tx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'GC calc'!$F$4:$F$993</c:f>
              <c:numCache>
                <c:formatCode>General</c:formatCode>
                <c:ptCount val="9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</c:numCache>
            </c:numRef>
          </c:xVal>
          <c:yVal>
            <c:numRef>
              <c:f>'GC calc'!$G$4:$G$991</c:f>
              <c:numCache>
                <c:formatCode>0.00E+00</c:formatCode>
                <c:ptCount val="988"/>
                <c:pt idx="0">
                  <c:v>3287900</c:v>
                </c:pt>
                <c:pt idx="1">
                  <c:v>3287900</c:v>
                </c:pt>
                <c:pt idx="2">
                  <c:v>3287900</c:v>
                </c:pt>
                <c:pt idx="3">
                  <c:v>3287900</c:v>
                </c:pt>
                <c:pt idx="4">
                  <c:v>3287900</c:v>
                </c:pt>
                <c:pt idx="5">
                  <c:v>1932780</c:v>
                </c:pt>
                <c:pt idx="6">
                  <c:v>1932780</c:v>
                </c:pt>
                <c:pt idx="7">
                  <c:v>1932780</c:v>
                </c:pt>
                <c:pt idx="8">
                  <c:v>1932780</c:v>
                </c:pt>
                <c:pt idx="9">
                  <c:v>1932780</c:v>
                </c:pt>
                <c:pt idx="10">
                  <c:v>3188800</c:v>
                </c:pt>
                <c:pt idx="11">
                  <c:v>3188800</c:v>
                </c:pt>
                <c:pt idx="12">
                  <c:v>3188800</c:v>
                </c:pt>
                <c:pt idx="13">
                  <c:v>3188800</c:v>
                </c:pt>
                <c:pt idx="14">
                  <c:v>3188800</c:v>
                </c:pt>
                <c:pt idx="15">
                  <c:v>2063840</c:v>
                </c:pt>
                <c:pt idx="16">
                  <c:v>2063840</c:v>
                </c:pt>
                <c:pt idx="17">
                  <c:v>2063840</c:v>
                </c:pt>
                <c:pt idx="18">
                  <c:v>2063840</c:v>
                </c:pt>
                <c:pt idx="19">
                  <c:v>2063840</c:v>
                </c:pt>
                <c:pt idx="20">
                  <c:v>9285680</c:v>
                </c:pt>
                <c:pt idx="21">
                  <c:v>9285680</c:v>
                </c:pt>
                <c:pt idx="22">
                  <c:v>9285680</c:v>
                </c:pt>
                <c:pt idx="23">
                  <c:v>9285680</c:v>
                </c:pt>
                <c:pt idx="24">
                  <c:v>9285680</c:v>
                </c:pt>
                <c:pt idx="25">
                  <c:v>8781390</c:v>
                </c:pt>
                <c:pt idx="26">
                  <c:v>8781390</c:v>
                </c:pt>
                <c:pt idx="27">
                  <c:v>8781390</c:v>
                </c:pt>
                <c:pt idx="28">
                  <c:v>8781390</c:v>
                </c:pt>
                <c:pt idx="29">
                  <c:v>8781390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A1-4BDD-8649-99CA37D876C8}"/>
            </c:ext>
          </c:extLst>
        </c:ser>
        <c:ser>
          <c:idx val="1"/>
          <c:order val="1"/>
          <c:tx>
            <c:strRef>
              <c:f>'GC calc'!$H$3</c:f>
              <c:strCache>
                <c:ptCount val="1"/>
                <c:pt idx="0">
                  <c:v>propylene</c:v>
                </c:pt>
              </c:strCache>
            </c:strRef>
          </c:tx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'GC calc'!$F$4:$F$993</c:f>
              <c:numCache>
                <c:formatCode>General</c:formatCode>
                <c:ptCount val="9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</c:numCache>
            </c:numRef>
          </c:xVal>
          <c:yVal>
            <c:numRef>
              <c:f>'GC calc'!$H$4:$H$991</c:f>
              <c:numCache>
                <c:formatCode>0.00E+00</c:formatCode>
                <c:ptCount val="988"/>
                <c:pt idx="0">
                  <c:v>6344780</c:v>
                </c:pt>
                <c:pt idx="1">
                  <c:v>6344780</c:v>
                </c:pt>
                <c:pt idx="2">
                  <c:v>6344780</c:v>
                </c:pt>
                <c:pt idx="3">
                  <c:v>6344780</c:v>
                </c:pt>
                <c:pt idx="4">
                  <c:v>6344780</c:v>
                </c:pt>
                <c:pt idx="5">
                  <c:v>4702600</c:v>
                </c:pt>
                <c:pt idx="6">
                  <c:v>4702600</c:v>
                </c:pt>
                <c:pt idx="7">
                  <c:v>4702600</c:v>
                </c:pt>
                <c:pt idx="8">
                  <c:v>4702600</c:v>
                </c:pt>
                <c:pt idx="9">
                  <c:v>4702600</c:v>
                </c:pt>
                <c:pt idx="10">
                  <c:v>9049300</c:v>
                </c:pt>
                <c:pt idx="11">
                  <c:v>9049300</c:v>
                </c:pt>
                <c:pt idx="12">
                  <c:v>9049300</c:v>
                </c:pt>
                <c:pt idx="13">
                  <c:v>9049300</c:v>
                </c:pt>
                <c:pt idx="14">
                  <c:v>9049300</c:v>
                </c:pt>
                <c:pt idx="15">
                  <c:v>6934420</c:v>
                </c:pt>
                <c:pt idx="16">
                  <c:v>6934420</c:v>
                </c:pt>
                <c:pt idx="17">
                  <c:v>6934420</c:v>
                </c:pt>
                <c:pt idx="18">
                  <c:v>6934420</c:v>
                </c:pt>
                <c:pt idx="19">
                  <c:v>6934420</c:v>
                </c:pt>
                <c:pt idx="20">
                  <c:v>10776000</c:v>
                </c:pt>
                <c:pt idx="21">
                  <c:v>10776000</c:v>
                </c:pt>
                <c:pt idx="22">
                  <c:v>10776000</c:v>
                </c:pt>
                <c:pt idx="23">
                  <c:v>10776000</c:v>
                </c:pt>
                <c:pt idx="24">
                  <c:v>10776000</c:v>
                </c:pt>
                <c:pt idx="25">
                  <c:v>10675700</c:v>
                </c:pt>
                <c:pt idx="26">
                  <c:v>10675700</c:v>
                </c:pt>
                <c:pt idx="27">
                  <c:v>10675700</c:v>
                </c:pt>
                <c:pt idx="28">
                  <c:v>10675700</c:v>
                </c:pt>
                <c:pt idx="29">
                  <c:v>10675700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A1-4BDD-8649-99CA37D876C8}"/>
            </c:ext>
          </c:extLst>
        </c:ser>
        <c:ser>
          <c:idx val="3"/>
          <c:order val="3"/>
          <c:tx>
            <c:strRef>
              <c:f>'GC calc'!$J$3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'GC calc'!$F$4:$F$993</c:f>
              <c:numCache>
                <c:formatCode>General</c:formatCode>
                <c:ptCount val="9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</c:numCache>
            </c:numRef>
          </c:xVal>
          <c:yVal>
            <c:numRef>
              <c:f>'GC calc'!$J$4:$J$983</c:f>
              <c:numCache>
                <c:formatCode>General</c:formatCode>
                <c:ptCount val="98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A1-4BDD-8649-99CA37D8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15360"/>
        <c:axId val="134727328"/>
      </c:scatterChart>
      <c:scatterChart>
        <c:scatterStyle val="lineMarker"/>
        <c:varyColors val="0"/>
        <c:ser>
          <c:idx val="2"/>
          <c:order val="2"/>
          <c:tx>
            <c:strRef>
              <c:f>'GC calc'!$I$3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  <a:prstDash val="solid"/>
              </a:ln>
            </c:spPr>
          </c:marker>
          <c:xVal>
            <c:numRef>
              <c:f>'GC calc'!$F$4:$F$993</c:f>
              <c:numCache>
                <c:formatCode>General</c:formatCode>
                <c:ptCount val="9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</c:numCache>
            </c:numRef>
          </c:xVal>
          <c:yVal>
            <c:numRef>
              <c:f>'GC calc'!$I$4:$I$983</c:f>
              <c:numCache>
                <c:formatCode>General</c:formatCode>
                <c:ptCount val="98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A1-4BDD-8649-99CA37D8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23520"/>
        <c:axId val="134727872"/>
      </c:scatterChart>
      <c:valAx>
        <c:axId val="1347153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en-US"/>
                  <a:t>number of data[N]</a:t>
                </a:r>
              </a:p>
            </c:rich>
          </c:tx>
          <c:layout>
            <c:manualLayout>
              <c:xMode val="edge"/>
              <c:yMode val="edge"/>
              <c:x val="0.4884667650374549"/>
              <c:y val="0.930327794199226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4727328"/>
        <c:crosses val="autoZero"/>
        <c:crossBetween val="midCat"/>
      </c:valAx>
      <c:valAx>
        <c:axId val="1347273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ja-JP"/>
                  <a:t>area value(CO</a:t>
                </a:r>
                <a:r>
                  <a:rPr lang="ja-JP" altLang="en-US"/>
                  <a:t>、</a:t>
                </a:r>
                <a:r>
                  <a:rPr lang="en-US" altLang="ja-JP"/>
                  <a:t>N2)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2.1709562424099972E-2"/>
              <c:y val="0.4323770254270266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4715360"/>
        <c:crosses val="autoZero"/>
        <c:crossBetween val="midCat"/>
      </c:valAx>
      <c:valAx>
        <c:axId val="13472787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34723520"/>
        <c:crosses val="max"/>
        <c:crossBetween val="midCat"/>
      </c:valAx>
      <c:valAx>
        <c:axId val="1347235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727872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304738467666519"/>
          <c:y val="0.36724382745939743"/>
          <c:w val="0.10913065793198362"/>
          <c:h val="0.2034144651473932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825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8203025716676"/>
          <c:y val="5.093220338983051E-2"/>
          <c:w val="0.80194838783838152"/>
          <c:h val="0.85675141242937869"/>
        </c:manualLayout>
      </c:layout>
      <c:scatterChart>
        <c:scatterStyle val="lineMarker"/>
        <c:varyColors val="0"/>
        <c:ser>
          <c:idx val="0"/>
          <c:order val="0"/>
          <c:tx>
            <c:strRef>
              <c:f>'Adsorption amount'!$P$2</c:f>
              <c:strCache>
                <c:ptCount val="1"/>
                <c:pt idx="0">
                  <c:v>propane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'Adsorption amount'!$K$4:$K$103</c:f>
              <c:numCache>
                <c:formatCode>0.00_ </c:formatCode>
                <c:ptCount val="100"/>
                <c:pt idx="0">
                  <c:v>66.519518086415403</c:v>
                </c:pt>
                <c:pt idx="1">
                  <c:v>67.202318977781644</c:v>
                </c:pt>
                <c:pt idx="2">
                  <c:v>250.32134298261224</c:v>
                </c:pt>
              </c:numCache>
            </c:numRef>
          </c:xVal>
          <c:yVal>
            <c:numRef>
              <c:f>'Adsorption amount'!$P$4:$P$103</c:f>
              <c:numCache>
                <c:formatCode>#,##0.00_);[Red]\(#,##0.00\)</c:formatCode>
                <c:ptCount val="100"/>
                <c:pt idx="0">
                  <c:v>18.01418293362855</c:v>
                </c:pt>
                <c:pt idx="1">
                  <c:v>15.201134159228129</c:v>
                </c:pt>
                <c:pt idx="2">
                  <c:v>118.13248251524382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8C1-44AE-9645-6C11355A0A1F}"/>
            </c:ext>
          </c:extLst>
        </c:ser>
        <c:ser>
          <c:idx val="1"/>
          <c:order val="1"/>
          <c:tx>
            <c:strRef>
              <c:f>'Adsorption amount'!$Q$2</c:f>
              <c:strCache>
                <c:ptCount val="1"/>
                <c:pt idx="0">
                  <c:v>propylene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'Adsorption amount'!$L$4:$L$103</c:f>
              <c:numCache>
                <c:formatCode>0.00_ </c:formatCode>
                <c:ptCount val="100"/>
                <c:pt idx="0">
                  <c:v>107.47224217714184</c:v>
                </c:pt>
                <c:pt idx="1">
                  <c:v>157.54251952013411</c:v>
                </c:pt>
                <c:pt idx="2">
                  <c:v>268.43149572955542</c:v>
                </c:pt>
              </c:numCache>
            </c:numRef>
          </c:xVal>
          <c:yVal>
            <c:numRef>
              <c:f>'Adsorption amount'!$Q$4:$Q$103</c:f>
              <c:numCache>
                <c:formatCode>#,##0.00_);[Red]\(#,##0.00\)</c:formatCode>
                <c:ptCount val="100"/>
                <c:pt idx="0">
                  <c:v>-14.875524067627667</c:v>
                </c:pt>
                <c:pt idx="1">
                  <c:v>-11.766919110837216</c:v>
                </c:pt>
                <c:pt idx="2">
                  <c:v>99.289027705436965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8C1-44AE-9645-6C11355A0A1F}"/>
            </c:ext>
          </c:extLst>
        </c:ser>
        <c:ser>
          <c:idx val="2"/>
          <c:order val="2"/>
          <c:tx>
            <c:strRef>
              <c:f>'Adsorption amount'!$R$2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'Adsorption amount'!$M$4:$M$103</c:f>
              <c:numCache>
                <c:formatCode>0.00_ 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'Adsorption amount'!$R$4:$R$103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8C1-44AE-9645-6C11355A0A1F}"/>
            </c:ext>
          </c:extLst>
        </c:ser>
        <c:ser>
          <c:idx val="3"/>
          <c:order val="3"/>
          <c:tx>
            <c:strRef>
              <c:f>'Adsorption amount'!$S$2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'Adsorption amount'!$N$4:$N$103</c:f>
              <c:numCache>
                <c:formatCode>0.00_ 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'Adsorption amount'!$S$4:$S$103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8C1-44AE-9645-6C11355A0A1F}"/>
            </c:ext>
          </c:extLst>
        </c:ser>
        <c:ser>
          <c:idx val="4"/>
          <c:order val="4"/>
          <c:tx>
            <c:strRef>
              <c:f>'Adsorption amount'!$T$2</c:f>
              <c:strCache>
                <c:ptCount val="1"/>
                <c:pt idx="0">
                  <c:v>total</c:v>
                </c:pt>
              </c:strCache>
            </c:strRef>
          </c:tx>
          <c:spPr>
            <a:ln w="28575">
              <a:noFill/>
            </a:ln>
          </c:spPr>
          <c:xVal>
            <c:numRef>
              <c:f>'Adsorption amount'!$O$4:$O$103</c:f>
              <c:numCache>
                <c:formatCode>0.00_ </c:formatCode>
                <c:ptCount val="100"/>
                <c:pt idx="0">
                  <c:v>171.84653782530799</c:v>
                </c:pt>
                <c:pt idx="1">
                  <c:v>221.54949861764899</c:v>
                </c:pt>
                <c:pt idx="2">
                  <c:v>497.65891562951202</c:v>
                </c:pt>
              </c:numCache>
            </c:numRef>
          </c:xVal>
          <c:yVal>
            <c:numRef>
              <c:f>'Adsorption amount'!$T$4:$T$103</c:f>
              <c:numCache>
                <c:formatCode>#,##0.00_);[Red]\(#,##0.00\)</c:formatCode>
                <c:ptCount val="100"/>
                <c:pt idx="0">
                  <c:v>3.1386588660008417</c:v>
                </c:pt>
                <c:pt idx="1">
                  <c:v>3.4342150483909291</c:v>
                </c:pt>
                <c:pt idx="2">
                  <c:v>217.42151022068083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8C1-44AE-9645-6C11355A0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14816"/>
        <c:axId val="134713184"/>
      </c:scatterChart>
      <c:valAx>
        <c:axId val="1347148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lang="ja-JP" sz="900" b="0" i="0" u="none" strike="noStrike" baseline="0">
                    <a:solidFill>
                      <a:srgbClr val="000000"/>
                    </a:solidFill>
                    <a:latin typeface="Arial Unicode MS"/>
                    <a:ea typeface="Arial Unicode MS"/>
                    <a:cs typeface="Arial Unicode MS"/>
                  </a:defRPr>
                </a:pPr>
                <a:r>
                  <a:rPr lang="en-US" altLang="en-US"/>
                  <a:t>Pe(KPa)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_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900" b="0" i="0" u="none" strike="noStrike" baseline="0">
                <a:solidFill>
                  <a:srgbClr val="000000"/>
                </a:solidFill>
                <a:latin typeface="Arial Unicode MS"/>
                <a:ea typeface="Arial Unicode MS"/>
                <a:cs typeface="Arial Unicode MS"/>
              </a:defRPr>
            </a:pPr>
            <a:endParaRPr lang="en-US"/>
          </a:p>
        </c:txPr>
        <c:crossAx val="134713184"/>
        <c:crosses val="autoZero"/>
        <c:crossBetween val="midCat"/>
      </c:valAx>
      <c:valAx>
        <c:axId val="134713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900" b="0" i="0" u="none" strike="noStrike" baseline="0">
                    <a:solidFill>
                      <a:srgbClr val="000000"/>
                    </a:solidFill>
                    <a:latin typeface="Arial Unicode MS"/>
                    <a:ea typeface="Arial Unicode MS"/>
                    <a:cs typeface="Arial Unicode MS"/>
                  </a:defRPr>
                </a:pPr>
                <a:r>
                  <a:rPr lang="en-US" altLang="en-US"/>
                  <a:t>V(ml/S.T.P.) g-1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_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900" b="0" i="0" u="none" strike="noStrike" baseline="0">
                <a:solidFill>
                  <a:srgbClr val="000000"/>
                </a:solidFill>
                <a:latin typeface="Arial Unicode MS"/>
                <a:ea typeface="Arial Unicode MS"/>
                <a:cs typeface="Arial Unicode MS"/>
              </a:defRPr>
            </a:pPr>
            <a:endParaRPr lang="en-US"/>
          </a:p>
        </c:txPr>
        <c:crossAx val="1347148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1364744114396059"/>
          <c:y val="9.0682847170191108E-2"/>
          <c:w val="0.19065358838446705"/>
          <c:h val="0.2415511287701672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825" b="0" i="0" u="none" strike="noStrike" baseline="0">
              <a:solidFill>
                <a:srgbClr val="000000"/>
              </a:solidFill>
              <a:latin typeface="Arial Unicode MS"/>
              <a:ea typeface="Arial Unicode MS"/>
              <a:cs typeface="Arial Unicode M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 Unicode MS"/>
          <a:ea typeface="Arial Unicode MS"/>
          <a:cs typeface="Arial Unicode MS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$M$7" lockText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Radio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6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2" name="Rectangle 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5867400" y="857250"/>
          <a:ext cx="1600200" cy="8572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0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Times New Roman" pitchFamily="1" charset="0"/>
                  <a:cs typeface="Times New Roman" pitchFamily="1" charset="0"/>
                </a:rPr>
                <a:t>Ads. rate </a:t>
              </a:r>
            </a:p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Times New Roman" pitchFamily="1" charset="0"/>
                  <a:cs typeface="Times New Roman" pitchFamily="1" charset="0"/>
                </a:rPr>
                <a:t>meas. calc.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27650" name="Option 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0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MS UI Gothic" pitchFamily="2" charset="-128"/>
                  <a:ea typeface="MS UI Gothic" pitchFamily="2" charset="-128"/>
                </a:rPr>
                <a:t>averages by all the GC data.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27651" name="Option 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0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MS UI Gothic" pitchFamily="2" charset="-128"/>
                  <a:ea typeface="MS UI Gothic" pitchFamily="2" charset="-128"/>
                </a:rPr>
                <a:t>average excludes the 1st point of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27652" name="Option 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0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MS UI Gothic" pitchFamily="2" charset="-128"/>
                  <a:ea typeface="MS UI Gothic" pitchFamily="2" charset="-128"/>
                </a:rPr>
                <a:t>average excludes the last point of data</a:t>
              </a:r>
            </a:p>
          </xdr:txBody>
        </xdr:sp>
        <xdr:clientData/>
      </xdr:twoCellAnchor>
    </mc:Choice>
    <mc:Fallback/>
  </mc:AlternateContent>
  <xdr:twoCellAnchor editAs="oneCell">
    <xdr:from>
      <xdr:col>14</xdr:col>
      <xdr:colOff>67235</xdr:colOff>
      <xdr:row>0</xdr:row>
      <xdr:rowOff>145677</xdr:rowOff>
    </xdr:from>
    <xdr:to>
      <xdr:col>14</xdr:col>
      <xdr:colOff>1581710</xdr:colOff>
      <xdr:row>5</xdr:row>
      <xdr:rowOff>100133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0176" y="145677"/>
          <a:ext cx="1514475" cy="695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103868</xdr:colOff>
      <xdr:row>7</xdr:row>
      <xdr:rowOff>34472</xdr:rowOff>
    </xdr:from>
    <xdr:to>
      <xdr:col>37</xdr:col>
      <xdr:colOff>465818</xdr:colOff>
      <xdr:row>46</xdr:row>
      <xdr:rowOff>140608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112939</xdr:colOff>
      <xdr:row>47</xdr:row>
      <xdr:rowOff>7257</xdr:rowOff>
    </xdr:from>
    <xdr:to>
      <xdr:col>37</xdr:col>
      <xdr:colOff>474889</xdr:colOff>
      <xdr:row>86</xdr:row>
      <xdr:rowOff>113393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41087</xdr:colOff>
      <xdr:row>11</xdr:row>
      <xdr:rowOff>67237</xdr:rowOff>
    </xdr:from>
    <xdr:to>
      <xdr:col>20</xdr:col>
      <xdr:colOff>100854</xdr:colOff>
      <xdr:row>50</xdr:row>
      <xdr:rowOff>223</xdr:rowOff>
    </xdr:to>
    <xdr:graphicFrame macro="">
      <xdr:nvGraphicFramePr>
        <xdr:cNvPr id="7" name="Chart 8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G2537"/>
  <sheetViews>
    <sheetView tabSelected="1" zoomScale="98" zoomScaleNormal="98" workbookViewId="0">
      <selection activeCell="E29" sqref="E29"/>
    </sheetView>
  </sheetViews>
  <sheetFormatPr baseColWidth="10" defaultColWidth="9.33203125" defaultRowHeight="13"/>
  <cols>
    <col min="1" max="1" width="21.33203125" customWidth="1"/>
    <col min="2" max="9" width="11.5"/>
    <col min="10" max="10" width="2.5" style="3" customWidth="1"/>
    <col min="11" max="11" width="6.6640625" style="2" customWidth="1"/>
    <col min="12" max="14" width="11" style="2" customWidth="1"/>
    <col min="15" max="15" width="24" style="2" bestFit="1" customWidth="1"/>
    <col min="16" max="16" width="51.5" style="2" bestFit="1" customWidth="1"/>
    <col min="17" max="17" width="25.33203125" style="2" bestFit="1" customWidth="1"/>
    <col min="18" max="18" width="20" style="2" bestFit="1" customWidth="1"/>
    <col min="19" max="19" width="16.6640625" style="2" bestFit="1" customWidth="1"/>
    <col min="20" max="20" width="51.5" style="2" bestFit="1" customWidth="1"/>
    <col min="21" max="21" width="15.33203125" style="2" bestFit="1" customWidth="1"/>
    <col min="22" max="22" width="21.6640625" style="2" bestFit="1" customWidth="1"/>
    <col min="23" max="23" width="22.33203125" style="2" bestFit="1" customWidth="1"/>
    <col min="24" max="25" width="11" style="2" customWidth="1"/>
    <col min="26" max="26" width="9.33203125" style="2"/>
    <col min="27" max="33" width="11" style="2" customWidth="1"/>
    <col min="34" max="16384" width="9.33203125" style="1"/>
  </cols>
  <sheetData>
    <row r="1" spans="1:33">
      <c r="A1" t="s">
        <v>73</v>
      </c>
      <c r="B1" t="s">
        <v>154</v>
      </c>
      <c r="K1" s="2" t="s">
        <v>135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AB1" s="1"/>
      <c r="AC1" s="1"/>
      <c r="AD1" s="1"/>
      <c r="AE1" s="1"/>
      <c r="AF1" s="1"/>
      <c r="AG1" s="1"/>
    </row>
    <row r="2" spans="1:33">
      <c r="A2" t="s">
        <v>72</v>
      </c>
      <c r="B2" s="124">
        <v>39448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AB2" s="1"/>
      <c r="AC2" s="1"/>
      <c r="AD2" s="1"/>
      <c r="AE2" s="1"/>
      <c r="AF2" s="1"/>
      <c r="AG2" s="1"/>
    </row>
    <row r="3" spans="1:33">
      <c r="A3" t="s">
        <v>71</v>
      </c>
      <c r="B3" s="125">
        <v>44114.798692129632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AB3" s="1"/>
      <c r="AC3" s="1"/>
      <c r="AD3" s="1"/>
      <c r="AE3" s="1"/>
      <c r="AF3" s="1"/>
      <c r="AG3" s="1"/>
    </row>
    <row r="4" spans="1:33">
      <c r="A4" t="s">
        <v>70</v>
      </c>
      <c r="B4" t="s">
        <v>175</v>
      </c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AB4" s="1"/>
      <c r="AC4" s="1"/>
      <c r="AD4" s="1"/>
      <c r="AE4" s="1"/>
      <c r="AF4" s="1"/>
      <c r="AG4" s="1"/>
    </row>
    <row r="5" spans="1:33">
      <c r="A5" t="s">
        <v>69</v>
      </c>
      <c r="B5" t="s">
        <v>176</v>
      </c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AB5" s="1"/>
      <c r="AC5" s="1"/>
      <c r="AD5" s="1"/>
      <c r="AE5" s="1"/>
      <c r="AF5" s="1"/>
      <c r="AG5" s="1"/>
    </row>
    <row r="6" spans="1:33">
      <c r="B6" t="s">
        <v>163</v>
      </c>
      <c r="V6" s="1"/>
      <c r="W6" s="1"/>
      <c r="AB6" s="1"/>
      <c r="AC6" s="1"/>
      <c r="AD6" s="1"/>
      <c r="AE6" s="1"/>
      <c r="AF6" s="1"/>
      <c r="AG6" s="1"/>
    </row>
    <row r="7" spans="1:33">
      <c r="B7" t="s">
        <v>177</v>
      </c>
      <c r="M7" s="2">
        <v>1</v>
      </c>
      <c r="V7" s="1"/>
      <c r="W7" s="1"/>
      <c r="AB7" s="1"/>
      <c r="AC7" s="1"/>
      <c r="AD7" s="1"/>
      <c r="AE7" s="1"/>
      <c r="AF7" s="1"/>
      <c r="AG7" s="1"/>
    </row>
    <row r="8" spans="1:33">
      <c r="B8" t="s">
        <v>171</v>
      </c>
      <c r="V8" s="1"/>
      <c r="W8" s="1"/>
      <c r="AB8" s="1"/>
      <c r="AC8" s="1"/>
      <c r="AD8" s="1"/>
      <c r="AE8" s="1"/>
      <c r="AF8" s="1"/>
      <c r="AG8" s="1"/>
    </row>
    <row r="9" spans="1:33">
      <c r="A9" t="s">
        <v>4</v>
      </c>
      <c r="B9">
        <v>0.55500000000000005</v>
      </c>
      <c r="C9" t="s">
        <v>5</v>
      </c>
      <c r="V9" s="1"/>
      <c r="W9" s="1"/>
      <c r="AB9" s="1"/>
      <c r="AC9" s="1"/>
      <c r="AD9" s="1"/>
      <c r="AE9" s="1"/>
      <c r="AF9" s="1"/>
      <c r="AG9" s="1"/>
    </row>
    <row r="10" spans="1:33">
      <c r="A10" t="s">
        <v>68</v>
      </c>
      <c r="B10">
        <v>25</v>
      </c>
      <c r="C10" t="s">
        <v>161</v>
      </c>
      <c r="V10" s="1"/>
      <c r="W10" s="1"/>
      <c r="AB10" s="1"/>
      <c r="AC10" s="1"/>
      <c r="AD10" s="1"/>
      <c r="AE10" s="1"/>
      <c r="AF10" s="1"/>
      <c r="AG10" s="1"/>
    </row>
    <row r="11" spans="1:33">
      <c r="A11" t="s">
        <v>67</v>
      </c>
      <c r="B11">
        <v>25</v>
      </c>
      <c r="C11" t="s">
        <v>161</v>
      </c>
      <c r="V11" s="1"/>
      <c r="W11" s="1"/>
      <c r="AB11" s="1"/>
      <c r="AC11" s="1"/>
      <c r="AD11" s="1"/>
      <c r="AE11" s="1"/>
      <c r="AF11" s="1"/>
      <c r="AG11" s="1"/>
    </row>
    <row r="12" spans="1:33">
      <c r="A12" t="s">
        <v>66</v>
      </c>
      <c r="B12">
        <v>200</v>
      </c>
      <c r="C12" t="s">
        <v>1</v>
      </c>
      <c r="E12" t="s">
        <v>65</v>
      </c>
      <c r="F12" t="s">
        <v>155</v>
      </c>
      <c r="V12" s="1"/>
      <c r="W12" s="1"/>
      <c r="AB12" s="1"/>
      <c r="AC12" s="1"/>
      <c r="AD12" s="1"/>
      <c r="AE12" s="1"/>
      <c r="AF12" s="1"/>
      <c r="AG12" s="1"/>
    </row>
    <row r="13" spans="1:33">
      <c r="A13" t="s">
        <v>64</v>
      </c>
      <c r="B13">
        <v>2</v>
      </c>
      <c r="C13" t="s">
        <v>146</v>
      </c>
      <c r="D13" t="s">
        <v>63</v>
      </c>
      <c r="E13" t="s">
        <v>62</v>
      </c>
      <c r="F13" t="s">
        <v>61</v>
      </c>
      <c r="L13" s="48" t="s">
        <v>92</v>
      </c>
      <c r="V13" s="1"/>
      <c r="W13" s="1"/>
      <c r="AB13" s="1"/>
      <c r="AC13" s="1"/>
      <c r="AD13" s="1"/>
      <c r="AE13" s="1"/>
      <c r="AF13" s="1"/>
      <c r="AG13" s="1"/>
    </row>
    <row r="14" spans="1:33">
      <c r="A14" t="s">
        <v>12</v>
      </c>
      <c r="B14" s="126">
        <v>0.5</v>
      </c>
      <c r="C14" t="s">
        <v>172</v>
      </c>
      <c r="D14" t="s">
        <v>147</v>
      </c>
      <c r="E14" t="s">
        <v>147</v>
      </c>
      <c r="F14" t="s">
        <v>147</v>
      </c>
      <c r="L14" s="87">
        <f>(COUNTA(A:A)-33)/22</f>
        <v>3</v>
      </c>
      <c r="V14" s="1"/>
      <c r="W14" s="1"/>
      <c r="AB14" s="1"/>
      <c r="AC14" s="1"/>
      <c r="AD14" s="1"/>
      <c r="AE14" s="1"/>
      <c r="AF14" s="1"/>
      <c r="AG14" s="1"/>
    </row>
    <row r="15" spans="1:33">
      <c r="A15" t="s">
        <v>11</v>
      </c>
      <c r="B15" s="126">
        <v>0.5</v>
      </c>
      <c r="C15" t="s">
        <v>173</v>
      </c>
      <c r="D15" t="s">
        <v>147</v>
      </c>
      <c r="E15" t="s">
        <v>147</v>
      </c>
      <c r="F15" t="s">
        <v>147</v>
      </c>
      <c r="V15" s="1"/>
      <c r="W15" s="1"/>
      <c r="AB15" s="1"/>
      <c r="AC15" s="1"/>
      <c r="AD15" s="1"/>
      <c r="AE15" s="1"/>
      <c r="AF15" s="1"/>
      <c r="AG15" s="1"/>
    </row>
    <row r="16" spans="1:33">
      <c r="A16" t="s">
        <v>10</v>
      </c>
      <c r="B16" s="126">
        <v>0</v>
      </c>
      <c r="R16" s="47"/>
      <c r="U16" s="1"/>
      <c r="V16" s="1"/>
      <c r="W16" s="1"/>
      <c r="AB16" s="1"/>
      <c r="AC16" s="1"/>
      <c r="AD16" s="1"/>
      <c r="AE16" s="1"/>
      <c r="AF16" s="1"/>
      <c r="AG16" s="1"/>
    </row>
    <row r="17" spans="1:33">
      <c r="A17" t="s">
        <v>9</v>
      </c>
      <c r="B17" s="126">
        <v>0</v>
      </c>
      <c r="L17" s="46"/>
      <c r="R17" s="1"/>
      <c r="T17" s="1"/>
      <c r="U17" s="1"/>
      <c r="V17" s="1"/>
      <c r="W17" s="1"/>
      <c r="AB17" s="1"/>
      <c r="AC17" s="1"/>
      <c r="AD17" s="1"/>
      <c r="AE17" s="1"/>
      <c r="AF17" s="1"/>
      <c r="AG17" s="1"/>
    </row>
    <row r="18" spans="1:33">
      <c r="A18" t="s">
        <v>60</v>
      </c>
      <c r="C18" t="s">
        <v>148</v>
      </c>
      <c r="D18" t="s">
        <v>147</v>
      </c>
      <c r="E18" t="s">
        <v>147</v>
      </c>
      <c r="F18" t="s">
        <v>147</v>
      </c>
      <c r="L18" s="45"/>
      <c r="M18" s="44" t="s">
        <v>136</v>
      </c>
      <c r="N18" s="44" t="s">
        <v>137</v>
      </c>
      <c r="O18" s="44" t="s">
        <v>91</v>
      </c>
      <c r="P18" s="44" t="s">
        <v>90</v>
      </c>
      <c r="Q18" s="43" t="s">
        <v>89</v>
      </c>
      <c r="R18" s="1"/>
      <c r="T18" s="1"/>
      <c r="U18" s="1"/>
      <c r="V18" s="1"/>
      <c r="W18" s="1"/>
      <c r="AB18" s="1"/>
      <c r="AC18" s="1"/>
      <c r="AD18" s="1"/>
      <c r="AE18" s="1"/>
      <c r="AF18" s="1"/>
      <c r="AG18" s="1"/>
    </row>
    <row r="19" spans="1:33" ht="14" thickBot="1">
      <c r="A19" t="s">
        <v>59</v>
      </c>
      <c r="C19" t="s">
        <v>58</v>
      </c>
      <c r="D19" t="s">
        <v>147</v>
      </c>
      <c r="E19" t="s">
        <v>147</v>
      </c>
      <c r="F19" t="s">
        <v>147</v>
      </c>
      <c r="L19" s="42"/>
      <c r="M19" s="41"/>
      <c r="N19" s="41"/>
      <c r="O19" s="41" t="s">
        <v>88</v>
      </c>
      <c r="P19" s="41" t="s">
        <v>87</v>
      </c>
      <c r="Q19" s="40" t="s">
        <v>86</v>
      </c>
      <c r="S19" s="1"/>
      <c r="T19" s="1"/>
      <c r="U19" s="1"/>
      <c r="V19" s="1"/>
      <c r="W19" s="1"/>
      <c r="AB19" s="1"/>
      <c r="AC19" s="1"/>
      <c r="AD19" s="1"/>
      <c r="AE19" s="1"/>
      <c r="AF19" s="1"/>
      <c r="AG19" s="1"/>
    </row>
    <row r="20" spans="1:33" ht="14" thickTop="1">
      <c r="A20" t="s">
        <v>57</v>
      </c>
      <c r="C20" t="s">
        <v>56</v>
      </c>
      <c r="D20" t="s">
        <v>147</v>
      </c>
      <c r="E20" t="s">
        <v>147</v>
      </c>
      <c r="F20" t="s">
        <v>147</v>
      </c>
      <c r="L20" s="37" t="s">
        <v>85</v>
      </c>
      <c r="M20" s="36" t="str">
        <f>IF(B14=0,"",C14)</f>
        <v>propane</v>
      </c>
      <c r="N20" s="38">
        <f>B14*100</f>
        <v>50</v>
      </c>
      <c r="O20" s="39" t="str">
        <f t="shared" ref="O20:Q23" si="0">D14</f>
        <v>REFPROP</v>
      </c>
      <c r="P20" s="36" t="str">
        <f t="shared" si="0"/>
        <v>REFPROP</v>
      </c>
      <c r="Q20" s="35" t="str">
        <f t="shared" si="0"/>
        <v>REFPROP</v>
      </c>
      <c r="S20" s="1"/>
      <c r="T20" s="1"/>
      <c r="U20" s="1"/>
      <c r="V20" s="1"/>
      <c r="W20" s="1"/>
      <c r="AB20" s="1"/>
      <c r="AC20" s="1"/>
      <c r="AD20" s="1"/>
      <c r="AE20" s="1"/>
      <c r="AF20" s="1"/>
      <c r="AG20" s="1"/>
    </row>
    <row r="21" spans="1:33">
      <c r="A21" t="s">
        <v>6</v>
      </c>
      <c r="B21" t="s">
        <v>156</v>
      </c>
      <c r="L21" s="37" t="s">
        <v>118</v>
      </c>
      <c r="M21" s="36" t="str">
        <f>IF(B15=0,"",C15)</f>
        <v>propylene</v>
      </c>
      <c r="N21" s="38">
        <f>B15*100</f>
        <v>50</v>
      </c>
      <c r="O21" s="36" t="str">
        <f t="shared" si="0"/>
        <v>REFPROP</v>
      </c>
      <c r="P21" s="36" t="str">
        <f t="shared" si="0"/>
        <v>REFPROP</v>
      </c>
      <c r="Q21" s="35" t="str">
        <f t="shared" si="0"/>
        <v>REFPROP</v>
      </c>
      <c r="S21" s="1"/>
      <c r="T21" s="1"/>
      <c r="U21" s="1"/>
      <c r="V21" s="1"/>
      <c r="W21" s="1"/>
      <c r="AB21" s="1"/>
      <c r="AC21" s="1"/>
      <c r="AD21" s="1"/>
      <c r="AE21" s="1"/>
      <c r="AF21" s="1"/>
      <c r="AG21" s="1"/>
    </row>
    <row r="22" spans="1:33">
      <c r="A22" t="s">
        <v>55</v>
      </c>
      <c r="B22">
        <v>600</v>
      </c>
      <c r="C22" t="s">
        <v>1</v>
      </c>
      <c r="L22" s="37" t="s">
        <v>119</v>
      </c>
      <c r="M22" s="36" t="str">
        <f>IF(B16=0,"",C16)</f>
        <v/>
      </c>
      <c r="N22" s="36">
        <f>B16*100</f>
        <v>0</v>
      </c>
      <c r="O22" s="36">
        <f t="shared" si="0"/>
        <v>0</v>
      </c>
      <c r="P22" s="36">
        <f t="shared" si="0"/>
        <v>0</v>
      </c>
      <c r="Q22" s="35">
        <f t="shared" si="0"/>
        <v>0</v>
      </c>
      <c r="R22" s="1"/>
      <c r="S22" s="1"/>
      <c r="T22" s="1"/>
      <c r="U22" s="1"/>
      <c r="V22" s="1"/>
      <c r="W22" s="1"/>
      <c r="AB22" s="1"/>
      <c r="AC22" s="1"/>
      <c r="AD22" s="1"/>
      <c r="AE22" s="1"/>
      <c r="AF22" s="1"/>
      <c r="AG22" s="1"/>
    </row>
    <row r="23" spans="1:33">
      <c r="A23" t="s">
        <v>54</v>
      </c>
      <c r="B23">
        <v>3</v>
      </c>
      <c r="C23" t="s">
        <v>53</v>
      </c>
      <c r="L23" s="34" t="s">
        <v>84</v>
      </c>
      <c r="M23" s="33" t="str">
        <f>IF(B17=0,"",C17)</f>
        <v/>
      </c>
      <c r="N23" s="33">
        <f>B17*100</f>
        <v>0</v>
      </c>
      <c r="O23" s="33">
        <f t="shared" si="0"/>
        <v>0</v>
      </c>
      <c r="P23" s="33">
        <f t="shared" si="0"/>
        <v>0</v>
      </c>
      <c r="Q23" s="32">
        <f t="shared" si="0"/>
        <v>0</v>
      </c>
      <c r="T23" s="1"/>
      <c r="U23" s="1"/>
      <c r="V23" s="1"/>
      <c r="W23" s="1"/>
      <c r="AB23" s="1"/>
      <c r="AC23" s="1"/>
      <c r="AD23" s="1"/>
      <c r="AE23" s="1"/>
      <c r="AF23" s="1"/>
      <c r="AG23" s="1"/>
    </row>
    <row r="24" spans="1:33">
      <c r="A24" t="s">
        <v>52</v>
      </c>
      <c r="B24">
        <v>32.927999999999997</v>
      </c>
      <c r="C24" t="s">
        <v>49</v>
      </c>
      <c r="L24" s="34" t="s">
        <v>120</v>
      </c>
      <c r="M24" s="33" t="str">
        <f>IF(B18=0,"",C18)</f>
        <v/>
      </c>
      <c r="N24" s="33"/>
      <c r="O24" s="33" t="str">
        <f>D20</f>
        <v>REFPROP</v>
      </c>
      <c r="P24" s="33" t="str">
        <f>E20</f>
        <v>REFPROP</v>
      </c>
      <c r="Q24" s="32" t="str">
        <f>F20</f>
        <v>REFPROP</v>
      </c>
      <c r="T24" s="1"/>
      <c r="U24" s="1"/>
      <c r="V24" s="1"/>
      <c r="W24" s="1"/>
      <c r="AB24" s="1"/>
      <c r="AC24" s="1"/>
      <c r="AD24" s="1"/>
      <c r="AE24" s="1"/>
      <c r="AF24" s="1"/>
      <c r="AG24" s="1"/>
    </row>
    <row r="25" spans="1:33">
      <c r="A25" t="s">
        <v>51</v>
      </c>
      <c r="B25">
        <v>38.459000000000003</v>
      </c>
      <c r="C25" t="s">
        <v>49</v>
      </c>
      <c r="U25" s="1"/>
      <c r="V25" s="1"/>
      <c r="W25" s="1"/>
      <c r="AB25" s="1"/>
      <c r="AC25" s="1"/>
      <c r="AD25" s="1"/>
      <c r="AE25" s="1"/>
      <c r="AF25" s="1"/>
      <c r="AG25" s="1"/>
    </row>
    <row r="26" spans="1:33">
      <c r="A26" t="s">
        <v>2</v>
      </c>
      <c r="B26">
        <v>41.167000000000002</v>
      </c>
      <c r="C26" t="s">
        <v>49</v>
      </c>
      <c r="U26" s="1"/>
      <c r="V26" s="1"/>
      <c r="W26" s="1"/>
      <c r="AB26" s="1"/>
      <c r="AC26" s="1"/>
      <c r="AD26" s="1"/>
      <c r="AE26" s="1"/>
      <c r="AF26" s="1"/>
      <c r="AG26" s="1"/>
    </row>
    <row r="27" spans="1:33">
      <c r="A27" t="s">
        <v>3</v>
      </c>
      <c r="B27">
        <v>3.4809999999999999</v>
      </c>
      <c r="C27" t="s">
        <v>49</v>
      </c>
      <c r="U27" s="1"/>
      <c r="V27" s="1"/>
      <c r="W27" s="1"/>
      <c r="AB27" s="1"/>
      <c r="AC27" s="1"/>
      <c r="AD27" s="1"/>
      <c r="AE27" s="1"/>
      <c r="AF27" s="1"/>
      <c r="AG27" s="1"/>
    </row>
    <row r="28" spans="1:33">
      <c r="A28" t="s">
        <v>50</v>
      </c>
      <c r="B28">
        <v>29.402349954375602</v>
      </c>
      <c r="C28" t="s">
        <v>49</v>
      </c>
      <c r="U28" s="1"/>
      <c r="V28" s="1"/>
      <c r="W28" s="1"/>
      <c r="AB28" s="1"/>
      <c r="AC28" s="1"/>
      <c r="AD28" s="1"/>
      <c r="AE28" s="1"/>
      <c r="AF28" s="1"/>
      <c r="AG28" s="1"/>
    </row>
    <row r="29" spans="1:33">
      <c r="A29" t="s">
        <v>48</v>
      </c>
      <c r="B29">
        <v>279.36392456812399</v>
      </c>
      <c r="C29" t="s">
        <v>1</v>
      </c>
      <c r="U29" s="1"/>
      <c r="V29" s="1"/>
      <c r="W29" s="1"/>
      <c r="AB29" s="1"/>
      <c r="AC29" s="1"/>
      <c r="AD29" s="1"/>
      <c r="AE29" s="1"/>
      <c r="AF29" s="1"/>
      <c r="AG29" s="1"/>
    </row>
    <row r="30" spans="1:33">
      <c r="A30" t="s">
        <v>47</v>
      </c>
      <c r="B30">
        <v>279.36392456812399</v>
      </c>
      <c r="C30" t="s">
        <v>1</v>
      </c>
      <c r="U30" s="1"/>
      <c r="V30" s="1"/>
      <c r="W30" s="1"/>
      <c r="AB30" s="1"/>
      <c r="AC30" s="1"/>
      <c r="AD30" s="1"/>
      <c r="AE30" s="1"/>
      <c r="AF30" s="1"/>
      <c r="AG30" s="1"/>
    </row>
    <row r="31" spans="1:33">
      <c r="A31" t="s">
        <v>46</v>
      </c>
      <c r="B31">
        <v>250.74938283154799</v>
      </c>
      <c r="C31" t="s">
        <v>1</v>
      </c>
      <c r="U31" s="1"/>
      <c r="V31" s="1"/>
      <c r="W31" s="1"/>
      <c r="AB31" s="1"/>
      <c r="AC31" s="1"/>
      <c r="AD31" s="1"/>
      <c r="AE31" s="1"/>
      <c r="AF31" s="1"/>
      <c r="AG31" s="1"/>
    </row>
    <row r="32" spans="1:33">
      <c r="A32" t="s">
        <v>45</v>
      </c>
      <c r="B32" s="125">
        <v>44114.978229166663</v>
      </c>
      <c r="U32" s="1"/>
      <c r="V32" s="1"/>
      <c r="W32" s="1"/>
      <c r="AB32" s="1"/>
      <c r="AC32" s="1"/>
      <c r="AD32" s="1"/>
      <c r="AE32" s="1"/>
      <c r="AF32" s="1"/>
      <c r="AG32" s="1"/>
    </row>
    <row r="33" spans="1:33">
      <c r="A33" t="s">
        <v>44</v>
      </c>
      <c r="B33">
        <v>5</v>
      </c>
      <c r="C33" t="s">
        <v>24</v>
      </c>
      <c r="T33" s="1"/>
      <c r="U33" s="1"/>
      <c r="V33" s="1"/>
      <c r="W33" s="1"/>
      <c r="AB33" s="1"/>
      <c r="AC33" s="1"/>
      <c r="AD33" s="1"/>
      <c r="AE33" s="1"/>
      <c r="AF33" s="1"/>
      <c r="AG33" s="1"/>
    </row>
    <row r="34" spans="1:33">
      <c r="A34" t="s">
        <v>43</v>
      </c>
      <c r="B34" t="s">
        <v>149</v>
      </c>
      <c r="T34" s="1"/>
      <c r="U34" s="1"/>
      <c r="V34" s="1"/>
      <c r="W34" s="1"/>
      <c r="AB34" s="1"/>
      <c r="AC34" s="1"/>
      <c r="AD34" s="1"/>
      <c r="AE34" s="1"/>
      <c r="AF34" s="1"/>
      <c r="AG34" s="1"/>
    </row>
    <row r="35" spans="1:33">
      <c r="A35" t="s">
        <v>42</v>
      </c>
      <c r="B35" t="s">
        <v>150</v>
      </c>
      <c r="T35" s="1"/>
      <c r="U35" s="1"/>
      <c r="V35" s="1"/>
      <c r="W35" s="1"/>
      <c r="AB35" s="1"/>
      <c r="AC35" s="1"/>
      <c r="AD35" s="1"/>
      <c r="AE35" s="1"/>
      <c r="AF35" s="1"/>
      <c r="AG35" s="1"/>
    </row>
    <row r="36" spans="1:33" s="29" customFormat="1">
      <c r="A36" t="s">
        <v>40</v>
      </c>
      <c r="B36">
        <v>0</v>
      </c>
      <c r="C36" t="s">
        <v>24</v>
      </c>
      <c r="D36"/>
      <c r="E36"/>
      <c r="F36"/>
      <c r="G36"/>
      <c r="H36"/>
      <c r="I36"/>
      <c r="J36" s="31"/>
      <c r="K36" s="30"/>
      <c r="L36" s="30"/>
      <c r="M36" s="30"/>
      <c r="N36" s="30"/>
      <c r="O36" s="30"/>
      <c r="P36" s="30"/>
      <c r="Q36" s="30"/>
      <c r="R36" s="30"/>
      <c r="S36" s="30"/>
      <c r="X36" s="30"/>
      <c r="Y36" s="30"/>
      <c r="Z36" s="30"/>
      <c r="AA36" s="30"/>
    </row>
    <row r="37" spans="1:33"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AB37" s="1"/>
      <c r="AC37" s="1"/>
      <c r="AD37" s="1"/>
      <c r="AE37" s="1"/>
      <c r="AF37" s="1"/>
      <c r="AG37" s="1"/>
    </row>
    <row r="38" spans="1:33" ht="14" thickBot="1">
      <c r="A38" t="s">
        <v>39</v>
      </c>
      <c r="K38" s="28" t="str">
        <f>A38</f>
        <v>&lt;1st point&gt;</v>
      </c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27"/>
      <c r="AB38" s="1"/>
      <c r="AC38" s="1"/>
      <c r="AD38" s="1"/>
      <c r="AE38" s="1"/>
      <c r="AF38" s="1"/>
      <c r="AG38" s="1"/>
    </row>
    <row r="39" spans="1:33">
      <c r="A39" t="s">
        <v>79</v>
      </c>
      <c r="B39">
        <v>25</v>
      </c>
      <c r="C39" t="s">
        <v>162</v>
      </c>
      <c r="K39" s="3"/>
      <c r="U39" s="83" t="s">
        <v>20</v>
      </c>
      <c r="V39" s="84" t="s">
        <v>143</v>
      </c>
      <c r="W39" s="85" t="s">
        <v>19</v>
      </c>
      <c r="AB39" s="1"/>
      <c r="AC39" s="1"/>
      <c r="AD39" s="1"/>
      <c r="AE39" s="1"/>
      <c r="AF39" s="1"/>
      <c r="AG39" s="1"/>
    </row>
    <row r="40" spans="1:33">
      <c r="A40" t="s">
        <v>78</v>
      </c>
      <c r="B40">
        <v>5</v>
      </c>
      <c r="C40" t="s">
        <v>31</v>
      </c>
      <c r="K40" s="3"/>
      <c r="U40" s="70" t="s">
        <v>15</v>
      </c>
      <c r="V40" s="2" t="s">
        <v>142</v>
      </c>
      <c r="W40" s="71" t="s">
        <v>15</v>
      </c>
      <c r="AB40" s="1"/>
      <c r="AC40" s="1"/>
      <c r="AD40" s="1"/>
      <c r="AE40" s="1"/>
      <c r="AF40" s="1"/>
      <c r="AG40" s="1"/>
    </row>
    <row r="41" spans="1:33">
      <c r="A41" t="s">
        <v>77</v>
      </c>
      <c r="B41">
        <v>1</v>
      </c>
      <c r="C41" t="s">
        <v>76</v>
      </c>
      <c r="K41" s="3"/>
      <c r="U41" s="70" t="e">
        <f>IF($D$14="REFPROP",D57/CompressibilityFactor($C$14,"TP","molar si",$B$11+273.15,D57/1000),D57/(1+$D$14*(D57*1000)+$E$14*(D57*1000)^2+$F$14*(D57*1000)^3))</f>
        <v>#VALUE!</v>
      </c>
      <c r="V41" s="2" t="e">
        <f>IF($B$13=4,U41*($B$26/($B$24+$B$26))^3,IF($B$13=3,U41*($B$26/($B$24+$B$26))^2,IF($B$13=2,U41*$B$26/($B$24+$B$26),0)))</f>
        <v>#VALUE!</v>
      </c>
      <c r="W41" s="71" t="e">
        <f>V41/V45</f>
        <v>#VALUE!</v>
      </c>
      <c r="AB41" s="1"/>
      <c r="AC41" s="1"/>
      <c r="AD41" s="1"/>
      <c r="AE41" s="1"/>
      <c r="AF41" s="1"/>
      <c r="AG41" s="1"/>
    </row>
    <row r="42" spans="1:33">
      <c r="A42" t="s">
        <v>75</v>
      </c>
      <c r="B42">
        <v>3600</v>
      </c>
      <c r="C42" t="s">
        <v>41</v>
      </c>
      <c r="K42" s="3"/>
      <c r="U42" s="70" t="e">
        <f>IF($D$15="REFPROP",D58/CompressibilityFactor($C$15,"TP","molar si",$B$11+273.15,D58/1000),D58/(1+$D$15*(D58*1000)+$E$15*(D58*1000)^2+$F$15*(D58*1000)^3))</f>
        <v>#VALUE!</v>
      </c>
      <c r="V42" s="2" t="e">
        <f>IF($B$13=4,U42*$B$24*$B$26^2/($B$24+$B$26)^3,IF($B$13=3,U42*$B$24*$B$26/($B$24+$B$26)^2,IF($B$13=2,U42*$B$24/($B$24+$B$26),0)))</f>
        <v>#VALUE!</v>
      </c>
      <c r="W42" s="71" t="e">
        <f>V42/V45</f>
        <v>#VALUE!</v>
      </c>
      <c r="AB42" s="1"/>
      <c r="AC42" s="1"/>
      <c r="AD42" s="1"/>
      <c r="AE42" s="1"/>
      <c r="AF42" s="1"/>
      <c r="AG42" s="1"/>
    </row>
    <row r="43" spans="1:33">
      <c r="A43" t="s">
        <v>38</v>
      </c>
      <c r="B43">
        <v>239.89869623094501</v>
      </c>
      <c r="C43" t="s">
        <v>1</v>
      </c>
      <c r="K43" s="3"/>
      <c r="U43" s="70">
        <f>IF($D$16="REFPROP",D59/CompressibilityFactor($C$16,"TP","molar si",$B$11+273.15,D59/1000),D59/(1+$D$16*(D59*1000)+$E$16*(D59*1000)^2+$F$16*(D59*1000)^3))</f>
        <v>0</v>
      </c>
      <c r="V43" s="2">
        <f>IF($B$13=4,U43*$B$24*$B$26/($B$24+$B$26)^2,IF($B$13=3,U43*$B$24/($B$24+$B$26),0))</f>
        <v>0</v>
      </c>
      <c r="W43" s="71" t="e">
        <f>V43/V45</f>
        <v>#VALUE!</v>
      </c>
      <c r="AB43" s="1"/>
      <c r="AC43" s="1"/>
      <c r="AD43" s="1"/>
      <c r="AE43" s="1"/>
      <c r="AF43" s="1"/>
      <c r="AG43" s="1"/>
    </row>
    <row r="44" spans="1:33">
      <c r="A44" t="s">
        <v>37</v>
      </c>
      <c r="B44">
        <v>239.89869623094501</v>
      </c>
      <c r="C44" t="s">
        <v>1</v>
      </c>
      <c r="D44" t="s">
        <v>151</v>
      </c>
      <c r="E44">
        <v>1</v>
      </c>
      <c r="K44" s="3"/>
      <c r="U44" s="70">
        <f>IF($D$17="REFPROP",D60/CompressibilityFactor($C$17,"TP","molar si",$B$11+273.15,D60/1000),D60/(1+$D$17*(D60*1000)+$E$17*(D60*1000)^2+$F$17*(D60*1000)^3))</f>
        <v>0</v>
      </c>
      <c r="V44" s="2">
        <f>IF($B$13=4,U44*$B$24/($B$24+$B$26),0)</f>
        <v>0</v>
      </c>
      <c r="W44" s="71" t="e">
        <f>V44/V45</f>
        <v>#VALUE!</v>
      </c>
      <c r="AB44" s="1"/>
      <c r="AC44" s="1"/>
      <c r="AD44" s="1"/>
      <c r="AE44" s="1"/>
      <c r="AF44" s="1"/>
      <c r="AG44" s="1"/>
    </row>
    <row r="45" spans="1:33" ht="14" thickBot="1">
      <c r="A45" t="s">
        <v>36</v>
      </c>
      <c r="B45">
        <v>171.84653782530799</v>
      </c>
      <c r="C45" t="s">
        <v>1</v>
      </c>
      <c r="K45" s="3"/>
      <c r="U45" s="86"/>
      <c r="V45" s="74" t="e">
        <f>SUM(V41:V44)</f>
        <v>#VALUE!</v>
      </c>
      <c r="W45" s="75"/>
      <c r="AB45" s="1"/>
      <c r="AC45" s="1"/>
      <c r="AD45" s="1"/>
      <c r="AE45" s="1"/>
      <c r="AF45" s="1"/>
      <c r="AG45" s="1"/>
    </row>
    <row r="46" spans="1:33" ht="14" thickBot="1">
      <c r="A46" t="s">
        <v>35</v>
      </c>
      <c r="B46">
        <v>171.96481659096099</v>
      </c>
      <c r="C46" t="s">
        <v>1</v>
      </c>
      <c r="K46" s="3"/>
      <c r="P46" s="76" t="s">
        <v>139</v>
      </c>
      <c r="Q46" s="77" t="s">
        <v>144</v>
      </c>
      <c r="R46" s="78" t="s">
        <v>134</v>
      </c>
      <c r="S46" s="79" t="s">
        <v>133</v>
      </c>
      <c r="T46" s="76" t="s">
        <v>140</v>
      </c>
      <c r="U46" s="77"/>
      <c r="V46" s="78" t="s">
        <v>145</v>
      </c>
      <c r="W46" s="79"/>
      <c r="AB46" s="1"/>
      <c r="AC46" s="1"/>
      <c r="AD46" s="1"/>
      <c r="AE46" s="1"/>
      <c r="AF46" s="1"/>
      <c r="AG46" s="1"/>
    </row>
    <row r="47" spans="1:33" ht="14" thickTop="1">
      <c r="A47" t="s">
        <v>34</v>
      </c>
      <c r="B47">
        <v>171.84653782530799</v>
      </c>
      <c r="C47" t="s">
        <v>1</v>
      </c>
      <c r="D47" t="s">
        <v>152</v>
      </c>
      <c r="E47">
        <v>1</v>
      </c>
      <c r="K47" s="3"/>
      <c r="P47" s="70"/>
      <c r="S47" s="71"/>
      <c r="T47" s="70"/>
      <c r="W47" s="80"/>
      <c r="AB47" s="1"/>
      <c r="AC47" s="1"/>
      <c r="AD47" s="1"/>
      <c r="AE47" s="1"/>
      <c r="AF47" s="1"/>
      <c r="AG47" s="1"/>
    </row>
    <row r="48" spans="1:33">
      <c r="A48" t="s">
        <v>33</v>
      </c>
      <c r="B48">
        <v>171.96481659096099</v>
      </c>
      <c r="C48" t="s">
        <v>1</v>
      </c>
      <c r="D48" t="s">
        <v>153</v>
      </c>
      <c r="E48">
        <v>1</v>
      </c>
      <c r="K48" s="3"/>
      <c r="P48" s="70" t="str">
        <f>$C$14</f>
        <v>propane</v>
      </c>
      <c r="Q48" s="8" t="e">
        <f>P57-R48/CompressibilityFactor($C$14,"TP","molar si",$B$11+273.15,R48/1000)</f>
        <v>#VALUE!</v>
      </c>
      <c r="R48" s="8">
        <v>66.519518086415403</v>
      </c>
      <c r="S48" s="72" t="e">
        <f>(P57)/(1-$O$20*P57*1000-$P$20*(P57*1000)^2-$Q$20*(P57*1000)^3)</f>
        <v>#VALUE!</v>
      </c>
      <c r="T48" s="70"/>
      <c r="U48" s="2" t="str">
        <f>$C$14</f>
        <v>propane</v>
      </c>
      <c r="V48" s="2" t="e">
        <f>V52*W41</f>
        <v>#VALUE!</v>
      </c>
      <c r="W48" s="71"/>
      <c r="AB48" s="1"/>
      <c r="AC48" s="1"/>
      <c r="AD48" s="1"/>
      <c r="AE48" s="1"/>
      <c r="AF48" s="1"/>
      <c r="AG48" s="1"/>
    </row>
    <row r="49" spans="1:33">
      <c r="A49" t="s">
        <v>32</v>
      </c>
      <c r="B49">
        <v>60</v>
      </c>
      <c r="C49" t="s">
        <v>31</v>
      </c>
      <c r="K49" s="3"/>
      <c r="P49" s="70" t="str">
        <f>$C$15</f>
        <v>propylene</v>
      </c>
      <c r="Q49" s="8" t="e">
        <f>P58-R49/CompressibilityFactor($C$15,"TP","molar si",$B$11+273.15,R49/1000)</f>
        <v>#VALUE!</v>
      </c>
      <c r="R49" s="8">
        <v>107.47224217714184</v>
      </c>
      <c r="S49" s="72" t="e">
        <f>(P58)/(1-$O$21*P58*1000-$P$21*(P58*1000)^2-$Q$21*(P58*1000)^3)</f>
        <v>#VALUE!</v>
      </c>
      <c r="T49" s="70"/>
      <c r="U49" s="2" t="str">
        <f>$C$15</f>
        <v>propylene</v>
      </c>
      <c r="V49" s="2" t="e">
        <f>V52*W42</f>
        <v>#VALUE!</v>
      </c>
      <c r="W49" s="71"/>
      <c r="AB49" s="1"/>
      <c r="AC49" s="1"/>
      <c r="AD49" s="1"/>
      <c r="AE49" s="1"/>
      <c r="AF49" s="1"/>
      <c r="AG49" s="1"/>
    </row>
    <row r="50" spans="1:33">
      <c r="A50" t="s">
        <v>30</v>
      </c>
      <c r="B50" s="127">
        <v>-9.3732074561493905E-2</v>
      </c>
      <c r="C50" t="s">
        <v>29</v>
      </c>
      <c r="K50" s="3"/>
      <c r="P50" s="70">
        <f>$C$16</f>
        <v>0</v>
      </c>
      <c r="Q50" s="8" t="e">
        <f>P59-R50/CompressibilityFactor($C$16,"TP","molar si",$B$11+273.15,R50/1000)</f>
        <v>#VALUE!</v>
      </c>
      <c r="R50" s="8">
        <v>1.7482570636341344E-2</v>
      </c>
      <c r="S50" s="72" t="e">
        <f>(P59)/(1-$O$22*P59*1000-$P$22*(P59*1000)^2-$Q$22*(P59*1000)^3)</f>
        <v>#VALUE!</v>
      </c>
      <c r="T50" s="70"/>
      <c r="U50" s="2">
        <f>$C$16</f>
        <v>0</v>
      </c>
      <c r="V50" s="2" t="e">
        <f>V52*W43</f>
        <v>#VALUE!</v>
      </c>
      <c r="W50" s="71"/>
      <c r="AB50" s="1"/>
      <c r="AC50" s="1"/>
      <c r="AD50" s="1"/>
      <c r="AE50" s="1"/>
      <c r="AF50" s="1"/>
      <c r="AG50" s="1"/>
    </row>
    <row r="51" spans="1:33">
      <c r="A51" t="s">
        <v>28</v>
      </c>
      <c r="B51">
        <v>-0.16888662083152001</v>
      </c>
      <c r="C51" t="s">
        <v>27</v>
      </c>
      <c r="K51" s="3"/>
      <c r="P51" s="70">
        <f>$C$17</f>
        <v>0</v>
      </c>
      <c r="Q51" s="8" t="e">
        <f>P60-R51/CompressibilityFactor($C$17,"TP","molar si",$B$11+273.15,R51/1000)</f>
        <v>#VALUE!</v>
      </c>
      <c r="R51" s="8">
        <v>0</v>
      </c>
      <c r="S51" s="72" t="e">
        <f>(P60)/(1-$O$23*P60*1000-$P$23*(P60*1000)^2-$Q$23*(P60*1000)^3)</f>
        <v>#VALUE!</v>
      </c>
      <c r="T51" s="70"/>
      <c r="U51" s="2">
        <f>$C$17</f>
        <v>0</v>
      </c>
      <c r="V51" s="2" t="e">
        <f>V52*W44</f>
        <v>#VALUE!</v>
      </c>
      <c r="W51" s="71"/>
      <c r="AB51" s="1"/>
      <c r="AC51" s="1"/>
      <c r="AD51" s="1"/>
      <c r="AE51" s="1"/>
      <c r="AF51" s="1"/>
      <c r="AG51" s="1"/>
    </row>
    <row r="52" spans="1:33" ht="14" thickBot="1">
      <c r="A52" t="s">
        <v>26</v>
      </c>
      <c r="B52" s="125">
        <v>44115.059421296297</v>
      </c>
      <c r="J52" s="2"/>
      <c r="P52" s="73" t="e">
        <f>IF($B$13&lt;4,IF($B$13&lt;3,CONCATENATE($C$14,";",O57,";",$C$15,";",O58),CONCATENATE($C$14,";",O57,";",$C$15,";",O58,";",$C$16,";",O59)),CONCATENATE($C$14,";",O57,";",$C$15,";",O58,";",$C$16,";",O59,";",$C$17,";",O60))</f>
        <v>#VALUE!</v>
      </c>
      <c r="Q52" s="74"/>
      <c r="R52" s="74"/>
      <c r="S52" s="75"/>
      <c r="T52" s="73" t="e">
        <f>IF($B$13&lt;4,IF($B$13&lt;3,CONCATENATE($C$14,";",W41,";",$C$15,";",W42),CONCATENATE($C$14,";",W41,";",$C$15,";",W42,";",$C$16,";",W43)),CONCATENATE($C$14,";",W41,";",$C$15,";",W42,";",$C$16,";",W43,";",$C$17,";",W44))</f>
        <v>#VALUE!</v>
      </c>
      <c r="U52" s="74" t="s">
        <v>141</v>
      </c>
      <c r="V52" s="74" t="e">
        <f>IF($D$19="REFPROP",B43/CompressibilityFactor($T52,"TP","molar si",$B$11+273.15,B43/1000),B43/(1+$D$19*(B43*1000)+$E$19*(B43*1000)^2+$F$19*(B43*1000)^3))</f>
        <v>#VALUE!</v>
      </c>
      <c r="W52" s="75"/>
      <c r="AB52" s="1"/>
      <c r="AC52" s="1"/>
      <c r="AD52" s="1"/>
      <c r="AE52" s="1"/>
      <c r="AF52" s="1"/>
      <c r="AG52" s="1"/>
    </row>
    <row r="53" spans="1:33">
      <c r="A53" t="s">
        <v>25</v>
      </c>
      <c r="B53">
        <v>5</v>
      </c>
      <c r="C53" t="s">
        <v>24</v>
      </c>
      <c r="K53" s="3"/>
      <c r="W53" s="26"/>
      <c r="AB53" s="1"/>
      <c r="AC53" s="1"/>
      <c r="AD53" s="1"/>
      <c r="AE53" s="1"/>
      <c r="AF53" s="1"/>
      <c r="AG53" s="1"/>
    </row>
    <row r="54" spans="1:33">
      <c r="A54" t="s">
        <v>23</v>
      </c>
      <c r="B54" t="s">
        <v>22</v>
      </c>
      <c r="C54" t="s">
        <v>21</v>
      </c>
      <c r="D54" t="s">
        <v>20</v>
      </c>
      <c r="E54" t="s">
        <v>20</v>
      </c>
      <c r="F54" t="s">
        <v>19</v>
      </c>
      <c r="G54" t="s">
        <v>18</v>
      </c>
      <c r="H54" t="s">
        <v>17</v>
      </c>
      <c r="I54" t="s">
        <v>17</v>
      </c>
      <c r="K54" s="3"/>
      <c r="L54" s="12" t="s">
        <v>121</v>
      </c>
      <c r="M54" s="12" t="s">
        <v>83</v>
      </c>
      <c r="N54" s="12" t="s">
        <v>82</v>
      </c>
      <c r="O54" s="12" t="s">
        <v>122</v>
      </c>
      <c r="P54" s="12" t="s">
        <v>123</v>
      </c>
      <c r="Q54" s="12" t="s">
        <v>124</v>
      </c>
      <c r="R54" s="12" t="s">
        <v>123</v>
      </c>
      <c r="S54" s="12" t="s">
        <v>74</v>
      </c>
      <c r="T54" s="12" t="s">
        <v>125</v>
      </c>
      <c r="U54" s="12" t="s">
        <v>81</v>
      </c>
      <c r="V54" s="12" t="s">
        <v>126</v>
      </c>
      <c r="W54" s="25" t="s">
        <v>127</v>
      </c>
      <c r="AB54" s="1"/>
      <c r="AC54" s="1"/>
      <c r="AD54" s="1"/>
      <c r="AE54" s="1"/>
      <c r="AF54" s="1"/>
      <c r="AG54" s="1"/>
    </row>
    <row r="55" spans="1:33">
      <c r="C55" t="s">
        <v>14</v>
      </c>
      <c r="D55" t="s">
        <v>16</v>
      </c>
      <c r="E55" t="s">
        <v>15</v>
      </c>
      <c r="F55" t="s">
        <v>15</v>
      </c>
      <c r="G55" t="s">
        <v>15</v>
      </c>
      <c r="H55" t="s">
        <v>15</v>
      </c>
      <c r="I55" t="s">
        <v>14</v>
      </c>
      <c r="K55" s="3"/>
      <c r="L55" s="14"/>
      <c r="M55" s="14"/>
      <c r="N55" s="14" t="s">
        <v>159</v>
      </c>
      <c r="O55" s="12"/>
      <c r="P55" s="12" t="s">
        <v>160</v>
      </c>
      <c r="Q55" s="12"/>
      <c r="R55" s="14" t="s">
        <v>128</v>
      </c>
      <c r="S55" s="14"/>
      <c r="T55" s="12" t="s">
        <v>160</v>
      </c>
      <c r="V55" s="12"/>
      <c r="W55" s="26"/>
      <c r="AB55" s="1"/>
      <c r="AC55" s="1"/>
      <c r="AD55" s="1"/>
      <c r="AE55" s="1"/>
      <c r="AF55" s="1"/>
      <c r="AG55" s="1"/>
    </row>
    <row r="56" spans="1:33">
      <c r="C56" t="s">
        <v>1</v>
      </c>
      <c r="D56" t="s">
        <v>1</v>
      </c>
      <c r="E56" t="s">
        <v>1</v>
      </c>
      <c r="F56" t="s">
        <v>13</v>
      </c>
      <c r="G56" t="s">
        <v>1</v>
      </c>
      <c r="H56" t="s">
        <v>1</v>
      </c>
      <c r="I56" t="s">
        <v>1</v>
      </c>
      <c r="K56" s="3"/>
      <c r="L56" s="12"/>
      <c r="M56" s="12"/>
      <c r="N56" s="12"/>
      <c r="O56" s="12" t="s">
        <v>129</v>
      </c>
      <c r="P56" s="12" t="s">
        <v>130</v>
      </c>
      <c r="Q56" s="12" t="s">
        <v>129</v>
      </c>
      <c r="R56" s="12" t="s">
        <v>130</v>
      </c>
      <c r="S56" s="12" t="s">
        <v>129</v>
      </c>
      <c r="T56" s="12" t="s">
        <v>130</v>
      </c>
      <c r="U56" s="13" t="s">
        <v>80</v>
      </c>
      <c r="V56" s="13" t="s">
        <v>131</v>
      </c>
      <c r="W56" s="25" t="s">
        <v>129</v>
      </c>
      <c r="AB56" s="1"/>
      <c r="AC56" s="1"/>
      <c r="AD56" s="1"/>
      <c r="AE56" s="1"/>
      <c r="AF56" s="1"/>
      <c r="AG56" s="1"/>
    </row>
    <row r="57" spans="1:33">
      <c r="A57" t="s">
        <v>12</v>
      </c>
      <c r="B57" t="s">
        <v>174</v>
      </c>
      <c r="C57">
        <v>251.40853099418399</v>
      </c>
      <c r="D57">
        <v>198.62682329213399</v>
      </c>
      <c r="E57">
        <v>198.62682329213399</v>
      </c>
      <c r="F57">
        <v>44.070344114053597</v>
      </c>
      <c r="G57">
        <v>105.72418095410499</v>
      </c>
      <c r="H57">
        <v>75.689215146549202</v>
      </c>
      <c r="I57">
        <v>75.689215146549202</v>
      </c>
      <c r="K57" s="3" t="str">
        <f>$M$20</f>
        <v>propane</v>
      </c>
      <c r="L57" s="10">
        <v>3287900</v>
      </c>
      <c r="M57" s="10">
        <v>1932780</v>
      </c>
      <c r="N57" s="9" t="e">
        <f>IF(K57="He",0,IF(W41=0,0,W41/L57))</f>
        <v>#VALUE!</v>
      </c>
      <c r="O57" s="6" t="e">
        <f>(M57*N57)/(N57*M57+M58*N58+M59*N59+M60*N60)</f>
        <v>#VALUE!</v>
      </c>
      <c r="P57" s="8" t="e">
        <f>IF(OR(K57="He",K57="helium"),H57,O57*(P61-P62))</f>
        <v>#VALUE!</v>
      </c>
      <c r="Q57" s="6" t="e">
        <f>P57/P61</f>
        <v>#VALUE!</v>
      </c>
      <c r="R57" s="8">
        <f>IF($D$14="REFPROP",R48,S48)</f>
        <v>66.519518086415403</v>
      </c>
      <c r="S57" s="6">
        <f>R57/R61</f>
        <v>0.38708675151801059</v>
      </c>
      <c r="T57" s="8" t="e">
        <f>Q57*T61</f>
        <v>#VALUE!</v>
      </c>
      <c r="U57" s="7" t="e">
        <f xml:space="preserve"> (V48*($B$24+$B$26)-(P57*($B$24+$B$26+$B$28)))/101.325/(273.15+$B$10)*273.15</f>
        <v>#VALUE!</v>
      </c>
      <c r="V57" s="7" t="e">
        <f xml:space="preserve"> (V48*($B$24+$B$26)-(P57*($B$24+$B$26+$B$28)))/101.325/(273.15+$B$10)*273.15/$B$9</f>
        <v>#VALUE!</v>
      </c>
      <c r="W57" s="23" t="e">
        <f>V57/V61</f>
        <v>#VALUE!</v>
      </c>
      <c r="AB57" s="1"/>
      <c r="AC57" s="1"/>
      <c r="AD57" s="1"/>
      <c r="AE57" s="1"/>
      <c r="AF57" s="1"/>
      <c r="AG57" s="1"/>
    </row>
    <row r="58" spans="1:33">
      <c r="A58" t="s">
        <v>11</v>
      </c>
      <c r="B58" t="s">
        <v>170</v>
      </c>
      <c r="C58">
        <v>314.31410943384202</v>
      </c>
      <c r="D58">
        <v>315.15011419852601</v>
      </c>
      <c r="E58">
        <v>315.15011419852601</v>
      </c>
      <c r="F58">
        <v>55.929655885946403</v>
      </c>
      <c r="G58">
        <v>134.174515276839</v>
      </c>
      <c r="H58">
        <v>96.057152321484196</v>
      </c>
      <c r="I58">
        <v>96.057152321484196</v>
      </c>
      <c r="K58" s="24" t="str">
        <f>$M$21</f>
        <v>propylene</v>
      </c>
      <c r="L58" s="10">
        <v>6344780</v>
      </c>
      <c r="M58" s="10">
        <v>4702600</v>
      </c>
      <c r="N58" s="9" t="e">
        <f t="shared" ref="N58:N60" si="1">IF(K58="He",0,IF(W42=0,0,W42/L58))</f>
        <v>#VALUE!</v>
      </c>
      <c r="O58" s="6" t="e">
        <f>(M58*N58)/(N57*M57+M58*N58+M59*N59+M60*N60)</f>
        <v>#VALUE!</v>
      </c>
      <c r="P58" s="8" t="e">
        <f>IF(OR(K58="He",K58="helium"),H58,O58*(P61-P62))</f>
        <v>#VALUE!</v>
      </c>
      <c r="Q58" s="6" t="e">
        <f>P58/P61</f>
        <v>#VALUE!</v>
      </c>
      <c r="R58" s="8">
        <f>IF($D$15="REFPROP",R49,S49)</f>
        <v>107.47224217714184</v>
      </c>
      <c r="S58" s="6">
        <f>R58/R61</f>
        <v>0.62539660988918866</v>
      </c>
      <c r="T58" s="8" t="e">
        <f>Q58*T61</f>
        <v>#VALUE!</v>
      </c>
      <c r="U58" s="7" t="e">
        <f xml:space="preserve"> (V49*($B$24+$B$26)-(P58*($B$24+$B$26+$B$28)))/101.325/(273.15+$B$10)*273.15</f>
        <v>#VALUE!</v>
      </c>
      <c r="V58" s="7" t="e">
        <f xml:space="preserve"> (V49*($B$24+$B$26)-(P58*($B$24+$B$26+$B$28)))/101.325/(273.15+$B$10)*273.15/$B$9</f>
        <v>#VALUE!</v>
      </c>
      <c r="W58" s="23" t="e">
        <f>V58/V61</f>
        <v>#VALUE!</v>
      </c>
      <c r="AB58" s="1"/>
      <c r="AC58" s="1"/>
      <c r="AD58" s="1"/>
      <c r="AE58" s="1"/>
      <c r="AF58" s="1"/>
      <c r="AG58" s="1"/>
    </row>
    <row r="59" spans="1:33">
      <c r="A59" t="s">
        <v>10</v>
      </c>
      <c r="B59" t="s">
        <v>157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K59" s="3" t="str">
        <f>$M$22</f>
        <v/>
      </c>
      <c r="L59" s="10">
        <v>0</v>
      </c>
      <c r="M59" s="10">
        <v>0</v>
      </c>
      <c r="N59" s="9" t="e">
        <f t="shared" si="1"/>
        <v>#VALUE!</v>
      </c>
      <c r="O59" s="6" t="e">
        <f>(M59*N59)/(N57*M57+M58*N58+M59*N59+M60*N60)</f>
        <v>#VALUE!</v>
      </c>
      <c r="P59" s="8" t="e">
        <f>IF(OR(K59="He",K59="helium"),H59,O59*(P61-P62))</f>
        <v>#VALUE!</v>
      </c>
      <c r="Q59" s="6" t="e">
        <f>P59/P61</f>
        <v>#VALUE!</v>
      </c>
      <c r="R59" s="8" t="e">
        <f>IF($D$16="REFPROP",R50,S50)</f>
        <v>#VALUE!</v>
      </c>
      <c r="S59" s="6" t="e">
        <f>R59/R61</f>
        <v>#VALUE!</v>
      </c>
      <c r="T59" s="8" t="e">
        <f>Q59*T61</f>
        <v>#VALUE!</v>
      </c>
      <c r="U59" s="7" t="e">
        <f xml:space="preserve"> (V50*($B$24+$B$26)-(P59*($B$24+$B$26+$B$28)))/101.325/(273.15+$B$10)*273.15</f>
        <v>#VALUE!</v>
      </c>
      <c r="V59" s="7" t="e">
        <f xml:space="preserve"> (V50*($B$24+$B$26)-(P59*($B$24+$B$26+$B$28)))/101.325/(273.15+$B$10)*273.15/$B$9</f>
        <v>#VALUE!</v>
      </c>
      <c r="W59" s="23" t="e">
        <f>V59/V61</f>
        <v>#VALUE!</v>
      </c>
      <c r="AB59" s="1"/>
      <c r="AC59" s="1"/>
      <c r="AD59" s="1"/>
      <c r="AE59" s="1"/>
      <c r="AF59" s="1"/>
      <c r="AG59" s="1"/>
    </row>
    <row r="60" spans="1:33">
      <c r="A60" t="s">
        <v>9</v>
      </c>
      <c r="B60" t="s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K60" s="3" t="str">
        <f>$M$23</f>
        <v/>
      </c>
      <c r="L60" s="10">
        <v>0</v>
      </c>
      <c r="M60" s="10">
        <v>0</v>
      </c>
      <c r="N60" s="9" t="e">
        <f t="shared" si="1"/>
        <v>#VALUE!</v>
      </c>
      <c r="O60" s="6" t="e">
        <f>(M60*N60)/(N57*M57+M58*N58+M59*N59+M60*N60)</f>
        <v>#VALUE!</v>
      </c>
      <c r="P60" s="8" t="e">
        <f>IF(OR(K60="He",K60="helium"),H60,O60*(P61-P62))</f>
        <v>#VALUE!</v>
      </c>
      <c r="Q60" s="6" t="e">
        <f>P60/P61</f>
        <v>#VALUE!</v>
      </c>
      <c r="R60" s="8" t="e">
        <f>IF($D$17="REFPROP",R51,S51)</f>
        <v>#VALUE!</v>
      </c>
      <c r="S60" s="6" t="e">
        <f>R60/R61</f>
        <v>#VALUE!</v>
      </c>
      <c r="T60" s="8" t="e">
        <f>Q60*T61</f>
        <v>#VALUE!</v>
      </c>
      <c r="U60" s="7" t="e">
        <f xml:space="preserve"> (V51*($B$24+$B$26)-(P60*($B$24+$B$26+$B$28)))/101.325/(273.15+$B$10)*273.15</f>
        <v>#VALUE!</v>
      </c>
      <c r="V60" s="7" t="e">
        <f xml:space="preserve"> (V51*($B$24+$B$26)-(P60*($B$24+$B$26+$B$28)))/101.325/(273.15+$B$10)*273.15/$B$9</f>
        <v>#VALUE!</v>
      </c>
      <c r="W60" s="23" t="e">
        <f>V60/V61</f>
        <v>#VALUE!</v>
      </c>
      <c r="AB60" s="1"/>
      <c r="AC60" s="1"/>
      <c r="AD60" s="1"/>
      <c r="AE60" s="1"/>
      <c r="AF60" s="1"/>
      <c r="AG60" s="1"/>
    </row>
    <row r="61" spans="1:33">
      <c r="A61" t="s">
        <v>8</v>
      </c>
      <c r="B61" t="s">
        <v>7</v>
      </c>
      <c r="C61">
        <v>279.36392456812399</v>
      </c>
      <c r="D61">
        <v>239.89869623094501</v>
      </c>
      <c r="F61">
        <v>100</v>
      </c>
      <c r="G61">
        <v>239.89869623094501</v>
      </c>
      <c r="H61">
        <v>171.74636746803299</v>
      </c>
      <c r="I61">
        <v>171.74636746803299</v>
      </c>
      <c r="K61" s="3"/>
      <c r="O61" s="6" t="e">
        <f>SUM(O57:O60)</f>
        <v>#VALUE!</v>
      </c>
      <c r="P61" s="8" t="e">
        <f>IF($D$19="REFPROP",B45/CompressibilityFactor($P52,"TP","molar si",$B$11+273.15,B45/1000),B45/(1+$D$19*(B45*1000)+$E$19*(B45*1000)^2+$F$19*(B45*1000)^3))</f>
        <v>#VALUE!</v>
      </c>
      <c r="Q61" s="6" t="e">
        <f>SUM(Q57:Q60)</f>
        <v>#VALUE!</v>
      </c>
      <c r="R61" s="69">
        <f>B45</f>
        <v>171.84653782530799</v>
      </c>
      <c r="S61" s="6">
        <f>R61/R61</f>
        <v>1</v>
      </c>
      <c r="T61" s="8" t="e">
        <f>IF(D19="REFPROP",B46/CompressibilityFactor($P52,"TP","molar si",$B$11+273.15,B46/1000),B46/(1+$D$19*(B46*1000)+$E$19*(B46*1000)^2+$F$19*(B46*1000)^3))</f>
        <v>#VALUE!</v>
      </c>
      <c r="U61" s="7" t="e">
        <f xml:space="preserve"> (V52*($B$24+$B$26)-(P61*($B$24+$B$26+$B$28)))/101.325/(273.15+$B$10)*273.15</f>
        <v>#VALUE!</v>
      </c>
      <c r="V61" s="7" t="e">
        <f xml:space="preserve"> (V52*($B$24+$B$26)-(P61*($B$24+$B$26+$B$28)))/101.325/(273.15+$B$10)*273.15/$B$9</f>
        <v>#VALUE!</v>
      </c>
      <c r="W61" s="23" t="e">
        <f>V61/V61</f>
        <v>#VALUE!</v>
      </c>
      <c r="AB61" s="1"/>
      <c r="AC61" s="1"/>
      <c r="AD61" s="1"/>
      <c r="AE61" s="1"/>
      <c r="AF61" s="1"/>
      <c r="AG61" s="1"/>
    </row>
    <row r="62" spans="1:33">
      <c r="K62" s="22"/>
      <c r="L62" s="17"/>
      <c r="M62" s="21"/>
      <c r="N62" s="20"/>
      <c r="O62" s="19" t="s">
        <v>132</v>
      </c>
      <c r="P62" s="18">
        <f>IF(OR(K57="He",K57="helium"),H57,IF(OR(K58="He",K58="helium"),H58,IF(OR(K59="He",K59="helium"),H59,IF(OR(K60="He",K60="helium"),H60,0))))</f>
        <v>0</v>
      </c>
      <c r="Q62" s="17"/>
      <c r="R62" s="17"/>
      <c r="S62" s="17"/>
      <c r="T62" s="17"/>
      <c r="U62" s="17"/>
      <c r="V62" s="17"/>
      <c r="W62" s="16"/>
      <c r="AB62" s="1"/>
      <c r="AC62" s="1"/>
      <c r="AD62" s="1"/>
      <c r="AE62" s="1"/>
      <c r="AG62" s="1"/>
    </row>
    <row r="63" spans="1:33" ht="14" thickBot="1">
      <c r="A63" t="s">
        <v>164</v>
      </c>
      <c r="K63" s="28" t="str">
        <f>A63</f>
        <v>&lt;2nd point&gt;</v>
      </c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27"/>
      <c r="AB63" s="1"/>
      <c r="AC63" s="1"/>
      <c r="AD63" s="1"/>
      <c r="AE63" s="1"/>
      <c r="AF63" s="1"/>
      <c r="AG63" s="1"/>
    </row>
    <row r="64" spans="1:33">
      <c r="A64" t="s">
        <v>79</v>
      </c>
      <c r="B64">
        <v>25</v>
      </c>
      <c r="C64" t="s">
        <v>162</v>
      </c>
      <c r="K64" s="3"/>
      <c r="U64" s="83" t="s">
        <v>20</v>
      </c>
      <c r="V64" s="84" t="s">
        <v>143</v>
      </c>
      <c r="W64" s="85" t="s">
        <v>19</v>
      </c>
      <c r="AB64" s="1"/>
      <c r="AC64" s="1"/>
      <c r="AD64" s="1"/>
      <c r="AE64" s="1"/>
      <c r="AF64" s="1"/>
      <c r="AG64" s="1"/>
    </row>
    <row r="65" spans="1:33">
      <c r="A65" t="s">
        <v>78</v>
      </c>
      <c r="B65">
        <v>5</v>
      </c>
      <c r="C65" t="s">
        <v>31</v>
      </c>
      <c r="K65" s="3"/>
      <c r="U65" s="70" t="s">
        <v>15</v>
      </c>
      <c r="V65" s="2" t="s">
        <v>142</v>
      </c>
      <c r="W65" s="71" t="s">
        <v>15</v>
      </c>
      <c r="AB65" s="1"/>
      <c r="AC65" s="1"/>
      <c r="AD65" s="1"/>
      <c r="AE65" s="1"/>
      <c r="AF65" s="1"/>
      <c r="AG65" s="1"/>
    </row>
    <row r="66" spans="1:33">
      <c r="A66" t="s">
        <v>77</v>
      </c>
      <c r="B66">
        <v>1</v>
      </c>
      <c r="C66" t="s">
        <v>76</v>
      </c>
      <c r="K66" s="3"/>
      <c r="U66" s="70" t="e">
        <f>IF($D$14="REFPROP",D82/CompressibilityFactor($C$14,"TP","molar si",$B$11+273.15,D82/1000),D82/(1+$D$14*(D82*1000)+$E$14*(D82*1000)^2+$F$14*(D82*1000)^3))</f>
        <v>#VALUE!</v>
      </c>
      <c r="V66" s="2" t="e">
        <f>IF($B$13=4,U66*($B$26/($B$24+$B$26))^3,IF($B$13=3,U66*($B$26/($B$24+$B$26))^2,IF($B$13=2,U66*$B$26/($B$24+$B$26),0)))</f>
        <v>#VALUE!</v>
      </c>
      <c r="W66" s="71" t="e">
        <f>V66/V70</f>
        <v>#VALUE!</v>
      </c>
      <c r="AB66" s="1"/>
      <c r="AC66" s="1"/>
      <c r="AD66" s="1"/>
      <c r="AE66" s="1"/>
      <c r="AF66" s="1"/>
      <c r="AG66" s="1"/>
    </row>
    <row r="67" spans="1:33">
      <c r="A67" t="s">
        <v>75</v>
      </c>
      <c r="B67">
        <v>3600</v>
      </c>
      <c r="C67" t="s">
        <v>41</v>
      </c>
      <c r="K67" s="3"/>
      <c r="U67" s="70" t="e">
        <f>IF($D$15="REFPROP",D83/CompressibilityFactor($C$15,"TP","molar si",$B$11+273.15,D83/1000),D83/(1+$D$15*(D83*1000)+$E$15*(D83*1000)^2+$F$15*(D83*1000)^3))</f>
        <v>#VALUE!</v>
      </c>
      <c r="V67" s="2" t="e">
        <f>IF($B$13=4,U67*$B$24*$B$26^2/($B$24+$B$26)^3,IF($B$13=3,U67*$B$24*$B$26/($B$24+$B$26)^2,IF($B$13=2,U67*$B$24/($B$24+$B$26),0)))</f>
        <v>#VALUE!</v>
      </c>
      <c r="W67" s="71" t="e">
        <f>V67/V70</f>
        <v>#VALUE!</v>
      </c>
      <c r="AB67" s="1"/>
      <c r="AC67" s="1"/>
      <c r="AD67" s="1"/>
      <c r="AE67" s="1"/>
      <c r="AF67" s="1"/>
      <c r="AG67" s="1"/>
    </row>
    <row r="68" spans="1:33">
      <c r="A68" t="s">
        <v>38</v>
      </c>
      <c r="B68">
        <v>307.82613035846299</v>
      </c>
      <c r="C68" t="s">
        <v>1</v>
      </c>
      <c r="K68" s="3"/>
      <c r="U68" s="70">
        <f>IF($D$16="REFPROP",D84/CompressibilityFactor($C$16,"TP","molar si",$B$11+273.15,D84/1000),D84/(1+$D$16*(D84*1000)+$E$16*(D84*1000)^2+$F$16*(D84*1000)^3))</f>
        <v>0</v>
      </c>
      <c r="V68" s="2">
        <f>IF($B$13=4,U68*$B$24*$B$26/($B$24+$B$26)^2,IF($B$13=3,U68*$B$24/($B$24+$B$26),0))</f>
        <v>0</v>
      </c>
      <c r="W68" s="71" t="e">
        <f>V68/V70</f>
        <v>#VALUE!</v>
      </c>
      <c r="AB68" s="1"/>
      <c r="AC68" s="1"/>
      <c r="AD68" s="1"/>
      <c r="AE68" s="1"/>
      <c r="AF68" s="1"/>
      <c r="AG68" s="1"/>
    </row>
    <row r="69" spans="1:33">
      <c r="A69" t="s">
        <v>37</v>
      </c>
      <c r="B69">
        <v>307.82613035846299</v>
      </c>
      <c r="C69" t="s">
        <v>1</v>
      </c>
      <c r="D69" t="s">
        <v>151</v>
      </c>
      <c r="E69">
        <v>1</v>
      </c>
      <c r="K69" s="3"/>
      <c r="U69" s="70">
        <f>IF($D$17="REFPROP",D85/CompressibilityFactor($C$17,"TP","molar si",$B$11+273.15,D85/1000),D85/(1+$D$17*(D85*1000)+$E$17*(D85*1000)^2+$F$17*(D85*1000)^3))</f>
        <v>0</v>
      </c>
      <c r="V69" s="2">
        <f>IF($B$13=4,U69*$B$24/($B$24+$B$26),0)</f>
        <v>0</v>
      </c>
      <c r="W69" s="71" t="e">
        <f>V69/V70</f>
        <v>#VALUE!</v>
      </c>
      <c r="AB69" s="1"/>
      <c r="AC69" s="1"/>
      <c r="AD69" s="1"/>
      <c r="AE69" s="1"/>
      <c r="AF69" s="1"/>
      <c r="AG69" s="1"/>
    </row>
    <row r="70" spans="1:33" ht="14" thickBot="1">
      <c r="A70" t="s">
        <v>36</v>
      </c>
      <c r="B70">
        <v>221.54949861764899</v>
      </c>
      <c r="C70" t="s">
        <v>1</v>
      </c>
      <c r="K70" s="3"/>
      <c r="U70" s="86"/>
      <c r="V70" s="74" t="e">
        <f>SUM(V66:V69)</f>
        <v>#VALUE!</v>
      </c>
      <c r="W70" s="75"/>
      <c r="AB70" s="1"/>
      <c r="AC70" s="1"/>
      <c r="AD70" s="1"/>
      <c r="AE70" s="1"/>
      <c r="AF70" s="1"/>
      <c r="AG70" s="1"/>
    </row>
    <row r="71" spans="1:33" ht="14" thickBot="1">
      <c r="A71" t="s">
        <v>35</v>
      </c>
      <c r="B71">
        <v>221.68146583049199</v>
      </c>
      <c r="C71" t="s">
        <v>1</v>
      </c>
      <c r="K71" s="3"/>
      <c r="P71" s="76" t="s">
        <v>139</v>
      </c>
      <c r="Q71" s="77"/>
      <c r="R71" s="78" t="s">
        <v>134</v>
      </c>
      <c r="S71" s="79" t="s">
        <v>133</v>
      </c>
      <c r="T71" s="76" t="s">
        <v>140</v>
      </c>
      <c r="U71" s="77"/>
      <c r="V71" s="78"/>
      <c r="W71" s="79"/>
      <c r="AB71" s="1"/>
      <c r="AC71" s="1"/>
      <c r="AD71" s="1"/>
      <c r="AE71" s="1"/>
      <c r="AF71" s="1"/>
      <c r="AG71" s="1"/>
    </row>
    <row r="72" spans="1:33" ht="14" thickTop="1">
      <c r="A72" t="s">
        <v>34</v>
      </c>
      <c r="B72">
        <v>221.54949861764899</v>
      </c>
      <c r="C72" t="s">
        <v>1</v>
      </c>
      <c r="D72" t="s">
        <v>152</v>
      </c>
      <c r="E72">
        <v>1</v>
      </c>
      <c r="K72" s="3"/>
      <c r="P72" s="70"/>
      <c r="S72" s="71"/>
      <c r="T72" s="70"/>
      <c r="W72" s="80"/>
      <c r="AB72" s="1"/>
      <c r="AC72" s="1"/>
      <c r="AD72" s="1"/>
      <c r="AE72" s="1"/>
      <c r="AF72" s="1"/>
      <c r="AG72" s="1"/>
    </row>
    <row r="73" spans="1:33">
      <c r="A73" t="s">
        <v>33</v>
      </c>
      <c r="B73">
        <v>221.68146583049199</v>
      </c>
      <c r="C73" t="s">
        <v>1</v>
      </c>
      <c r="D73" t="s">
        <v>153</v>
      </c>
      <c r="E73">
        <v>1</v>
      </c>
      <c r="K73" s="3"/>
      <c r="P73" s="70" t="str">
        <f>$C$14</f>
        <v>propane</v>
      </c>
      <c r="Q73" s="8" t="e">
        <f>P82-R73/CompressibilityFactor($C$14,"TP","molar si",$B$11+273.15,R73/1000)</f>
        <v>#VALUE!</v>
      </c>
      <c r="R73" s="8">
        <v>67.202318977781644</v>
      </c>
      <c r="S73" s="72" t="e">
        <f>(P82)/(1-$O$20*P82*1000-$P$20*(P82*1000)^2-$Q$20*(P82*1000)^3)</f>
        <v>#VALUE!</v>
      </c>
      <c r="T73" s="70"/>
      <c r="U73" s="2" t="str">
        <f>$C$14</f>
        <v>propane</v>
      </c>
      <c r="V73" s="2" t="e">
        <f>V77*W66</f>
        <v>#VALUE!</v>
      </c>
      <c r="W73" s="71"/>
      <c r="AB73" s="1"/>
      <c r="AC73" s="1"/>
      <c r="AD73" s="1"/>
      <c r="AE73" s="1"/>
      <c r="AF73" s="1"/>
      <c r="AG73" s="1"/>
    </row>
    <row r="74" spans="1:33">
      <c r="A74" t="s">
        <v>32</v>
      </c>
      <c r="B74">
        <v>60</v>
      </c>
      <c r="C74" t="s">
        <v>31</v>
      </c>
      <c r="K74" s="3"/>
      <c r="P74" s="70" t="str">
        <f>$C$15</f>
        <v>propylene</v>
      </c>
      <c r="Q74" s="8" t="e">
        <f>P83-R74/CompressibilityFactor($C$15,"TP","molar si",$B$11+273.15,R74/1000)</f>
        <v>#VALUE!</v>
      </c>
      <c r="R74" s="8">
        <v>157.54251952013411</v>
      </c>
      <c r="S74" s="72" t="e">
        <f>(P83)/(1-$O$21*P83*1000-$P$21*(P83*1000)^2-$Q$21*(P83*1000)^3)</f>
        <v>#VALUE!</v>
      </c>
      <c r="T74" s="70"/>
      <c r="U74" s="2" t="str">
        <f>$C$15</f>
        <v>propylene</v>
      </c>
      <c r="V74" s="2" t="e">
        <f>V77*W67</f>
        <v>#VALUE!</v>
      </c>
      <c r="W74" s="71"/>
      <c r="AB74" s="1"/>
      <c r="AC74" s="1"/>
      <c r="AD74" s="1"/>
      <c r="AE74" s="1"/>
      <c r="AF74" s="1"/>
      <c r="AG74" s="1"/>
    </row>
    <row r="75" spans="1:33">
      <c r="A75" t="s">
        <v>30</v>
      </c>
      <c r="B75">
        <v>-1.09766587847332</v>
      </c>
      <c r="C75" t="s">
        <v>29</v>
      </c>
      <c r="K75" s="3"/>
      <c r="P75" s="70">
        <f>$C$16</f>
        <v>0</v>
      </c>
      <c r="Q75" s="8" t="e">
        <f>P84-R75/CompressibilityFactor($C$16,"TP","molar si",$B$11+273.15,R75/1000)</f>
        <v>#VALUE!</v>
      </c>
      <c r="R75" s="8">
        <v>1.7469709962580346</v>
      </c>
      <c r="S75" s="72" t="e">
        <f>(P84)/(1-$O$22*P84*1000-$P$22*(P84*1000)^2-$Q$22*(P84*1000)^3)</f>
        <v>#VALUE!</v>
      </c>
      <c r="T75" s="70"/>
      <c r="U75" s="2">
        <f>$C$16</f>
        <v>0</v>
      </c>
      <c r="V75" s="2" t="e">
        <f>V77*W68</f>
        <v>#VALUE!</v>
      </c>
      <c r="W75" s="71"/>
      <c r="AB75" s="1"/>
      <c r="AC75" s="1"/>
      <c r="AD75" s="1"/>
      <c r="AE75" s="1"/>
      <c r="AF75" s="1"/>
      <c r="AG75" s="1"/>
    </row>
    <row r="76" spans="1:33">
      <c r="A76" t="s">
        <v>28</v>
      </c>
      <c r="B76">
        <v>-1.9777763576095799</v>
      </c>
      <c r="C76" t="s">
        <v>27</v>
      </c>
      <c r="K76" s="3"/>
      <c r="P76" s="70">
        <f>$C$17</f>
        <v>0</v>
      </c>
      <c r="Q76" s="8" t="e">
        <f>P85-R76/CompressibilityFactor($C$17,"TP","molar si",$B$11+273.15,R76/1000)</f>
        <v>#VALUE!</v>
      </c>
      <c r="R76" s="8">
        <v>0</v>
      </c>
      <c r="S76" s="72" t="e">
        <f>(P85)/(1-$O$23*P85*1000-$P$23*(P85*1000)^2-$Q$23*(P85*1000)^3)</f>
        <v>#VALUE!</v>
      </c>
      <c r="T76" s="70"/>
      <c r="U76" s="2">
        <f>$C$17</f>
        <v>0</v>
      </c>
      <c r="V76" s="2" t="e">
        <f>V77*W69</f>
        <v>#VALUE!</v>
      </c>
      <c r="W76" s="71"/>
      <c r="AB76" s="1"/>
      <c r="AC76" s="1"/>
      <c r="AD76" s="1"/>
      <c r="AE76" s="1"/>
      <c r="AF76" s="1"/>
      <c r="AG76" s="1"/>
    </row>
    <row r="77" spans="1:33" ht="14" thickBot="1">
      <c r="A77" t="s">
        <v>26</v>
      </c>
      <c r="B77" s="125">
        <v>44115.259780092594</v>
      </c>
      <c r="K77" s="3"/>
      <c r="P77" s="73" t="e">
        <f>IF($B$13&lt;4,IF($B$13&lt;3,CONCATENATE($C$14,";",O82,";",$C$15,";",O83),CONCATENATE($C$14,";",O82,";",$C$15,";",O83,";",$C$16,";",O84)),CONCATENATE($C$14,";",O82,";",$C$15,";",O83,";",$C$16,";",O84,";",$C$17,";",O85))</f>
        <v>#VALUE!</v>
      </c>
      <c r="Q77" s="74"/>
      <c r="R77" s="74"/>
      <c r="S77" s="75"/>
      <c r="T77" s="73" t="e">
        <f>IF($B$13&lt;4,IF($B$13&lt;3,CONCATENATE($C$14,";",W66,";",$C$15,";",W67),CONCATENATE($C$14,";",W66,";",$C$15,";",W67,";",$C$16,";",W68)),CONCATENATE($C$14,";",W66,";",$C$15,";",W67,";",$C$16,";",W68,";",$C$17,";",W69))</f>
        <v>#VALUE!</v>
      </c>
      <c r="U77" s="74" t="s">
        <v>141</v>
      </c>
      <c r="V77" s="74" t="e">
        <f>IF($D$19="REFPROP",B68/CompressibilityFactor($T77,"TP","molar si",$B$11+273.15,B68/1000),B68/(1+$D$19*(B68*1000)+$E$19*(B68*1000)^2+$F$19*(B68*1000)^3))</f>
        <v>#VALUE!</v>
      </c>
      <c r="W77" s="75"/>
      <c r="AB77" s="1"/>
      <c r="AC77" s="1"/>
      <c r="AD77" s="1"/>
      <c r="AE77" s="1"/>
      <c r="AF77" s="1"/>
      <c r="AG77" s="1"/>
    </row>
    <row r="78" spans="1:33">
      <c r="A78" t="s">
        <v>25</v>
      </c>
      <c r="B78">
        <v>5</v>
      </c>
      <c r="C78" t="s">
        <v>24</v>
      </c>
      <c r="K78" s="3"/>
      <c r="W78" s="26"/>
      <c r="AB78" s="1"/>
      <c r="AC78" s="1"/>
      <c r="AD78" s="1"/>
      <c r="AE78" s="1"/>
      <c r="AF78" s="1"/>
      <c r="AG78" s="1"/>
    </row>
    <row r="79" spans="1:33">
      <c r="A79" t="s">
        <v>23</v>
      </c>
      <c r="B79" t="s">
        <v>22</v>
      </c>
      <c r="C79" t="s">
        <v>21</v>
      </c>
      <c r="D79" t="s">
        <v>20</v>
      </c>
      <c r="E79" t="s">
        <v>20</v>
      </c>
      <c r="F79" t="s">
        <v>19</v>
      </c>
      <c r="G79" t="s">
        <v>18</v>
      </c>
      <c r="H79" t="s">
        <v>17</v>
      </c>
      <c r="I79" t="s">
        <v>17</v>
      </c>
      <c r="K79" s="3"/>
      <c r="L79" s="12" t="s">
        <v>116</v>
      </c>
      <c r="M79" s="12" t="s">
        <v>117</v>
      </c>
      <c r="N79" s="12" t="s">
        <v>82</v>
      </c>
      <c r="O79" s="12" t="s">
        <v>122</v>
      </c>
      <c r="P79" s="12" t="s">
        <v>123</v>
      </c>
      <c r="Q79" s="12" t="s">
        <v>124</v>
      </c>
      <c r="R79" s="12" t="s">
        <v>123</v>
      </c>
      <c r="S79" s="12" t="s">
        <v>74</v>
      </c>
      <c r="T79" s="12" t="s">
        <v>125</v>
      </c>
      <c r="U79" s="12" t="s">
        <v>81</v>
      </c>
      <c r="V79" s="12" t="s">
        <v>126</v>
      </c>
      <c r="W79" s="25" t="s">
        <v>127</v>
      </c>
      <c r="AB79" s="1"/>
      <c r="AC79" s="1"/>
      <c r="AD79" s="1"/>
      <c r="AE79" s="1"/>
      <c r="AF79" s="1"/>
      <c r="AG79" s="1"/>
    </row>
    <row r="80" spans="1:33">
      <c r="C80" t="s">
        <v>14</v>
      </c>
      <c r="D80" t="s">
        <v>16</v>
      </c>
      <c r="E80" t="s">
        <v>15</v>
      </c>
      <c r="F80" t="s">
        <v>15</v>
      </c>
      <c r="G80" t="s">
        <v>15</v>
      </c>
      <c r="H80" t="s">
        <v>15</v>
      </c>
      <c r="I80" t="s">
        <v>14</v>
      </c>
      <c r="K80" s="3"/>
      <c r="L80" s="14"/>
      <c r="M80" s="14"/>
      <c r="N80" s="14" t="s">
        <v>159</v>
      </c>
      <c r="O80" s="12"/>
      <c r="P80" s="12" t="s">
        <v>160</v>
      </c>
      <c r="Q80" s="12"/>
      <c r="R80" s="14" t="s">
        <v>128</v>
      </c>
      <c r="S80" s="14"/>
      <c r="T80" s="12" t="s">
        <v>160</v>
      </c>
      <c r="V80" s="12"/>
      <c r="W80" s="26"/>
      <c r="AB80" s="1"/>
      <c r="AC80" s="1"/>
      <c r="AD80" s="1"/>
      <c r="AE80" s="1"/>
      <c r="AF80" s="1"/>
      <c r="AG80" s="1"/>
    </row>
    <row r="81" spans="1:33">
      <c r="C81" t="s">
        <v>1</v>
      </c>
      <c r="D81" t="s">
        <v>1</v>
      </c>
      <c r="E81" t="s">
        <v>1</v>
      </c>
      <c r="F81" t="s">
        <v>13</v>
      </c>
      <c r="G81" t="s">
        <v>1</v>
      </c>
      <c r="H81" t="s">
        <v>1</v>
      </c>
      <c r="I81" t="s">
        <v>1</v>
      </c>
      <c r="K81" s="3"/>
      <c r="L81" s="12"/>
      <c r="M81" s="12"/>
      <c r="N81" s="12"/>
      <c r="O81" s="12" t="s">
        <v>129</v>
      </c>
      <c r="P81" s="12" t="s">
        <v>130</v>
      </c>
      <c r="Q81" s="12" t="s">
        <v>129</v>
      </c>
      <c r="R81" s="12" t="s">
        <v>130</v>
      </c>
      <c r="S81" s="12" t="s">
        <v>129</v>
      </c>
      <c r="T81" s="12" t="s">
        <v>130</v>
      </c>
      <c r="U81" s="13" t="s">
        <v>80</v>
      </c>
      <c r="V81" s="13" t="s">
        <v>131</v>
      </c>
      <c r="W81" s="25" t="s">
        <v>129</v>
      </c>
      <c r="AB81" s="1"/>
      <c r="AC81" s="1"/>
      <c r="AD81" s="1"/>
      <c r="AE81" s="1"/>
      <c r="AF81" s="1"/>
      <c r="AG81" s="1"/>
    </row>
    <row r="82" spans="1:33">
      <c r="A82" t="s">
        <v>12</v>
      </c>
      <c r="B82" t="s">
        <v>174</v>
      </c>
      <c r="C82">
        <v>377.11279649127601</v>
      </c>
      <c r="D82">
        <v>196.259503332858</v>
      </c>
      <c r="E82">
        <v>196.259503332858</v>
      </c>
      <c r="F82">
        <v>34.202155307671902</v>
      </c>
      <c r="G82">
        <v>105.283171182798</v>
      </c>
      <c r="H82">
        <v>75.373490936997698</v>
      </c>
      <c r="I82">
        <v>75.373490936997698</v>
      </c>
      <c r="K82" s="3" t="str">
        <f>$M$20</f>
        <v>propane</v>
      </c>
      <c r="L82" s="10">
        <v>3188800</v>
      </c>
      <c r="M82" s="10">
        <v>2063840</v>
      </c>
      <c r="N82" s="9" t="e">
        <f>IF(K82="He",0,IF(W66=0,0,W66/L82))</f>
        <v>#VALUE!</v>
      </c>
      <c r="O82" s="6" t="e">
        <f>(M82*N82)/(N82*M82+M83*N83+M84*N84+M85*N85)</f>
        <v>#VALUE!</v>
      </c>
      <c r="P82" s="8" t="e">
        <f>IF(OR(K82="He",K82="helium"),H82,O82*(P86-P87))</f>
        <v>#VALUE!</v>
      </c>
      <c r="Q82" s="6" t="e">
        <f>P82/P86</f>
        <v>#VALUE!</v>
      </c>
      <c r="R82" s="8">
        <f>IF($D$14="REFPROP",R73,S73)</f>
        <v>67.202318977781644</v>
      </c>
      <c r="S82" s="6">
        <f>R82/R86</f>
        <v>0.30332868906085714</v>
      </c>
      <c r="T82" s="8" t="e">
        <f>Q82*T86</f>
        <v>#VALUE!</v>
      </c>
      <c r="U82" s="7" t="e">
        <f xml:space="preserve"> (V73*($B$24+$B$26)-(P82*($B$24+$B$26+$B$28)))/101.325/(273.15+$B$10)*273.15</f>
        <v>#VALUE!</v>
      </c>
      <c r="V82" s="7" t="e">
        <f xml:space="preserve"> (V73*($B$24+$B$26)-(P82*($B$24+$B$26+$B$28)))/101.325/(273.15+$B$10)*273.15/$B$9</f>
        <v>#VALUE!</v>
      </c>
      <c r="W82" s="23" t="e">
        <f>V82/V86</f>
        <v>#VALUE!</v>
      </c>
      <c r="AB82" s="1"/>
      <c r="AC82" s="1"/>
      <c r="AD82" s="1"/>
      <c r="AE82" s="1"/>
      <c r="AF82" s="1"/>
      <c r="AG82" s="1"/>
    </row>
    <row r="83" spans="1:33">
      <c r="A83" t="s">
        <v>11</v>
      </c>
      <c r="B83" t="s">
        <v>170</v>
      </c>
      <c r="C83">
        <v>471.47116415076403</v>
      </c>
      <c r="D83">
        <v>472.03342774980899</v>
      </c>
      <c r="E83">
        <v>472.03342774980899</v>
      </c>
      <c r="F83">
        <v>65.797844692328098</v>
      </c>
      <c r="G83">
        <v>202.542959175665</v>
      </c>
      <c r="H83">
        <v>145.00294516464999</v>
      </c>
      <c r="I83">
        <v>145.00294516464999</v>
      </c>
      <c r="K83" s="24" t="str">
        <f>$M$21</f>
        <v>propylene</v>
      </c>
      <c r="L83" s="10">
        <v>9049300</v>
      </c>
      <c r="M83" s="10">
        <v>6934420</v>
      </c>
      <c r="N83" s="9" t="e">
        <f t="shared" ref="N83:N85" si="2">IF(K83="He",0,IF(W67=0,0,W67/L83))</f>
        <v>#VALUE!</v>
      </c>
      <c r="O83" s="6" t="e">
        <f>(M83*N83)/(N82*M82+M83*N83+M84*N84+M85*N85)</f>
        <v>#VALUE!</v>
      </c>
      <c r="P83" s="8" t="e">
        <f>IF(OR(K83="He",K83="helium"),H83,O83*(P86-P87))</f>
        <v>#VALUE!</v>
      </c>
      <c r="Q83" s="6" t="e">
        <f>P83/P86</f>
        <v>#VALUE!</v>
      </c>
      <c r="R83" s="8">
        <f>IF($D$15="REFPROP",R74,S74)</f>
        <v>157.54251952013411</v>
      </c>
      <c r="S83" s="6">
        <f>R83/R86</f>
        <v>0.71109400158030422</v>
      </c>
      <c r="T83" s="8" t="e">
        <f>Q83*T86</f>
        <v>#VALUE!</v>
      </c>
      <c r="U83" s="7" t="e">
        <f xml:space="preserve"> (V74*($B$24+$B$26)-(P83*($B$24+$B$26+$B$28)))/101.325/(273.15+$B$10)*273.15</f>
        <v>#VALUE!</v>
      </c>
      <c r="V83" s="7" t="e">
        <f xml:space="preserve"> (V74*($B$24+$B$26)-(P83*($B$24+$B$26+$B$28)))/101.325/(273.15+$B$10)*273.15/$B$9</f>
        <v>#VALUE!</v>
      </c>
      <c r="W83" s="23" t="e">
        <f>V83/V86</f>
        <v>#VALUE!</v>
      </c>
      <c r="AB83" s="1"/>
      <c r="AC83" s="1"/>
      <c r="AD83" s="1"/>
      <c r="AE83" s="1"/>
      <c r="AF83" s="1"/>
      <c r="AG83" s="1"/>
    </row>
    <row r="84" spans="1:33">
      <c r="A84" t="s">
        <v>10</v>
      </c>
      <c r="B84" t="s">
        <v>157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K84" s="3" t="str">
        <f>$M$22</f>
        <v/>
      </c>
      <c r="L84" s="10">
        <v>0</v>
      </c>
      <c r="M84" s="10">
        <v>0</v>
      </c>
      <c r="N84" s="9" t="e">
        <f t="shared" si="2"/>
        <v>#VALUE!</v>
      </c>
      <c r="O84" s="6" t="e">
        <f>(M84*N84)/(N82*M82+M83*N83+M84*N84+M85*N85)</f>
        <v>#VALUE!</v>
      </c>
      <c r="P84" s="8" t="e">
        <f>IF(OR(K84="He",K84="helium"),H84,O84*(P86-P87))</f>
        <v>#VALUE!</v>
      </c>
      <c r="Q84" s="6" t="e">
        <f>P84/P86</f>
        <v>#VALUE!</v>
      </c>
      <c r="R84" s="8" t="e">
        <f>IF($D$16="REFPROP",R75,S75)</f>
        <v>#VALUE!</v>
      </c>
      <c r="S84" s="6" t="e">
        <f>R84/R86</f>
        <v>#VALUE!</v>
      </c>
      <c r="T84" s="8" t="e">
        <f>Q84*T86</f>
        <v>#VALUE!</v>
      </c>
      <c r="U84" s="7" t="e">
        <f xml:space="preserve"> (V75*($B$24+$B$26)-(P84*($B$24+$B$26+$B$28)))/101.325/(273.15+$B$10)*273.15</f>
        <v>#VALUE!</v>
      </c>
      <c r="V84" s="7" t="e">
        <f xml:space="preserve"> (V75*($B$24+$B$26)-(P84*($B$24+$B$26+$B$28)))/101.325/(273.15+$B$10)*273.15/$B$9</f>
        <v>#VALUE!</v>
      </c>
      <c r="W84" s="23" t="e">
        <f>V84/V86</f>
        <v>#VALUE!</v>
      </c>
      <c r="AB84" s="1"/>
      <c r="AC84" s="1"/>
      <c r="AD84" s="1"/>
      <c r="AE84" s="1"/>
      <c r="AF84" s="1"/>
      <c r="AG84" s="1"/>
    </row>
    <row r="85" spans="1:33">
      <c r="A85" t="s">
        <v>9</v>
      </c>
      <c r="B85" t="s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K85" s="3" t="str">
        <f>$M$23</f>
        <v/>
      </c>
      <c r="L85" s="10">
        <v>0</v>
      </c>
      <c r="M85" s="10">
        <v>0</v>
      </c>
      <c r="N85" s="9" t="e">
        <f t="shared" si="2"/>
        <v>#VALUE!</v>
      </c>
      <c r="O85" s="6" t="e">
        <f>(M85*N85)/(N82*M82+M83*N83+M84*N84+M85*N85)</f>
        <v>#VALUE!</v>
      </c>
      <c r="P85" s="8" t="e">
        <f>IF(OR(K85="He",K85="helium"),H85,O85*(P86-P87))</f>
        <v>#VALUE!</v>
      </c>
      <c r="Q85" s="6" t="e">
        <f>P85/P86</f>
        <v>#VALUE!</v>
      </c>
      <c r="R85" s="8" t="e">
        <f>IF($D$17="REFPROP",R76,S76)</f>
        <v>#VALUE!</v>
      </c>
      <c r="S85" s="6" t="e">
        <f>R85/R86</f>
        <v>#VALUE!</v>
      </c>
      <c r="T85" s="8" t="e">
        <f>Q85*T86</f>
        <v>#VALUE!</v>
      </c>
      <c r="U85" s="7" t="e">
        <f xml:space="preserve"> (V76*($B$24+$B$26)-(P85*($B$24+$B$26+$B$28)))/101.325/(273.15+$B$10)*273.15</f>
        <v>#VALUE!</v>
      </c>
      <c r="V85" s="7" t="e">
        <f xml:space="preserve"> (V76*($B$24+$B$26)-(P85*($B$24+$B$26+$B$28)))/101.325/(273.15+$B$10)*273.15/$B$9</f>
        <v>#VALUE!</v>
      </c>
      <c r="W85" s="23" t="e">
        <f>V85/V86</f>
        <v>#VALUE!</v>
      </c>
      <c r="AB85" s="1"/>
      <c r="AC85" s="1"/>
      <c r="AD85" s="1"/>
      <c r="AE85" s="1"/>
      <c r="AF85" s="1"/>
      <c r="AG85" s="1"/>
    </row>
    <row r="86" spans="1:33">
      <c r="A86" t="s">
        <v>8</v>
      </c>
      <c r="B86" t="s">
        <v>7</v>
      </c>
      <c r="C86">
        <v>419.04588685218602</v>
      </c>
      <c r="D86">
        <v>307.82613035846299</v>
      </c>
      <c r="F86">
        <v>100</v>
      </c>
      <c r="G86">
        <v>307.82613035846299</v>
      </c>
      <c r="H86">
        <v>220.37643610164699</v>
      </c>
      <c r="I86">
        <v>220.37643610164699</v>
      </c>
      <c r="K86" s="3"/>
      <c r="O86" s="6" t="e">
        <f>SUM(O82:O85)</f>
        <v>#VALUE!</v>
      </c>
      <c r="P86" s="8" t="e">
        <f>IF($D$19="REFPROP",B70/CompressibilityFactor($P77,"TP","molar si",$B$11+273.15,B70/1000),B70/(1+$D$19*(B70*1000)+$E$19*(B70*1000)^2+$F$19*(B70*1000)^3))</f>
        <v>#VALUE!</v>
      </c>
      <c r="Q86" s="6" t="e">
        <f>SUM(Q82:Q85)</f>
        <v>#VALUE!</v>
      </c>
      <c r="R86" s="69">
        <f>B70</f>
        <v>221.54949861764899</v>
      </c>
      <c r="S86" s="6">
        <f>R86/R86</f>
        <v>1</v>
      </c>
      <c r="T86" s="8" t="e">
        <f>IF(D44="REFPROP",B71/CompressibilityFactor($P77,"TP","molar si",$B$11+273.15,B71/1000),B71/(1+$D$19*(B71*1000)+$E$19*(B71*1000)^2+$F$19*(B71*1000)^3))</f>
        <v>#VALUE!</v>
      </c>
      <c r="U86" s="7" t="e">
        <f xml:space="preserve"> (V77*($B$24+$B$26)-(P86*($B$24+$B$26+$B$28)))/101.325/(273.15+$B$10)*273.15</f>
        <v>#VALUE!</v>
      </c>
      <c r="V86" s="7" t="e">
        <f xml:space="preserve"> (V77*($B$24+$B$26)-(P86*($B$24+$B$26+$B$28)))/101.325/(273.15+$B$10)*273.15/$B$9</f>
        <v>#VALUE!</v>
      </c>
      <c r="W86" s="23" t="e">
        <f>V86/V86</f>
        <v>#VALUE!</v>
      </c>
      <c r="AB86" s="1"/>
      <c r="AC86" s="1"/>
      <c r="AD86" s="1"/>
      <c r="AE86" s="1"/>
      <c r="AF86" s="1"/>
      <c r="AG86" s="1"/>
    </row>
    <row r="87" spans="1:33">
      <c r="K87" s="22"/>
      <c r="L87" s="17"/>
      <c r="M87" s="21"/>
      <c r="N87" s="20"/>
      <c r="O87" s="19" t="s">
        <v>138</v>
      </c>
      <c r="P87" s="18">
        <f>IF(OR(K82="He",K82="helium"),H82,IF(OR(K83="He",K83="helium"),H83,IF(OR(K84="He",K84="helium"),H84,IF(OR(K85="He",K85="helium"),H85,0))))</f>
        <v>0</v>
      </c>
      <c r="Q87" s="17"/>
      <c r="R87" s="17"/>
      <c r="S87" s="17"/>
      <c r="T87" s="17"/>
      <c r="U87" s="17"/>
      <c r="V87" s="17"/>
      <c r="W87" s="16"/>
      <c r="AB87" s="1"/>
      <c r="AC87" s="1"/>
      <c r="AD87" s="1"/>
      <c r="AE87" s="1"/>
      <c r="AF87" s="1"/>
      <c r="AG87" s="1"/>
    </row>
    <row r="88" spans="1:33" ht="14" thickBot="1">
      <c r="A88" t="s">
        <v>165</v>
      </c>
      <c r="K88" s="28" t="str">
        <f>A88</f>
        <v>&lt;3rd point&gt;</v>
      </c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27"/>
      <c r="AB88" s="1"/>
      <c r="AC88" s="1"/>
      <c r="AD88" s="1"/>
      <c r="AE88" s="1"/>
      <c r="AF88" s="1"/>
      <c r="AG88" s="1"/>
    </row>
    <row r="89" spans="1:33">
      <c r="A89" t="s">
        <v>79</v>
      </c>
      <c r="B89">
        <v>25</v>
      </c>
      <c r="C89" t="s">
        <v>162</v>
      </c>
      <c r="K89" s="3"/>
      <c r="U89" s="83" t="s">
        <v>20</v>
      </c>
      <c r="V89" s="84" t="s">
        <v>143</v>
      </c>
      <c r="W89" s="85" t="s">
        <v>19</v>
      </c>
      <c r="AB89" s="1"/>
      <c r="AC89" s="1"/>
      <c r="AD89" s="1"/>
      <c r="AE89" s="1"/>
      <c r="AF89" s="1"/>
      <c r="AG89" s="1"/>
    </row>
    <row r="90" spans="1:33">
      <c r="A90" t="s">
        <v>78</v>
      </c>
      <c r="B90">
        <v>5</v>
      </c>
      <c r="C90" t="s">
        <v>31</v>
      </c>
      <c r="K90" s="3"/>
      <c r="U90" s="70" t="s">
        <v>15</v>
      </c>
      <c r="V90" s="2" t="s">
        <v>142</v>
      </c>
      <c r="W90" s="71" t="s">
        <v>15</v>
      </c>
      <c r="AB90" s="1"/>
      <c r="AC90" s="1"/>
      <c r="AD90" s="1"/>
      <c r="AE90" s="1"/>
      <c r="AF90" s="1"/>
      <c r="AG90" s="1"/>
    </row>
    <row r="91" spans="1:33">
      <c r="A91" t="s">
        <v>77</v>
      </c>
      <c r="B91">
        <v>1</v>
      </c>
      <c r="C91" t="s">
        <v>76</v>
      </c>
      <c r="K91" s="3"/>
      <c r="U91" s="70" t="e">
        <f>IF($D$14="REFPROP",D107/CompressibilityFactor($C$14,"TP","molar si",$B$11+273.15,D107/1000),D107/(1+$D$14*(D107*1000)+$E$14*(D107*1000)^2+$F$14*(D107*1000)^3))</f>
        <v>#VALUE!</v>
      </c>
      <c r="V91" s="2" t="e">
        <f>IF($B$13=4,U91*($B$26/($B$24+$B$26))^3,IF($B$13=3,U91*($B$26/($B$24+$B$26))^2,IF($B$13=2,U91*$B$26/($B$24+$B$26),0)))</f>
        <v>#VALUE!</v>
      </c>
      <c r="W91" s="71" t="e">
        <f>V91/V95</f>
        <v>#VALUE!</v>
      </c>
      <c r="AB91" s="1"/>
      <c r="AC91" s="1"/>
      <c r="AD91" s="1"/>
      <c r="AE91" s="1"/>
      <c r="AF91" s="1"/>
      <c r="AG91" s="1"/>
    </row>
    <row r="92" spans="1:33">
      <c r="A92" t="s">
        <v>75</v>
      </c>
      <c r="B92">
        <v>3600</v>
      </c>
      <c r="C92" t="s">
        <v>41</v>
      </c>
      <c r="K92" s="3"/>
      <c r="U92" s="70" t="e">
        <f>IF($D$15="REFPROP",D108/CompressibilityFactor($C$15,"TP","molar si",$B$11+273.15,D108/1000),D108/(1+$D$15*(D108*1000)+$E$15*(D108*1000)^2+$F$15*(D108*1000)^3))</f>
        <v>#VALUE!</v>
      </c>
      <c r="V92" s="2" t="e">
        <f>IF($B$13=4,U92*$B$24*$B$26^2/($B$24+$B$26)^3,IF($B$13=3,U92*$B$24*$B$26/($B$24+$B$26)^2,IF($B$13=2,U92*$B$24/($B$24+$B$26),0)))</f>
        <v>#VALUE!</v>
      </c>
      <c r="W92" s="71" t="e">
        <f>V92/V95</f>
        <v>#VALUE!</v>
      </c>
      <c r="AB92" s="1"/>
      <c r="AC92" s="1"/>
      <c r="AD92" s="1"/>
      <c r="AE92" s="1"/>
      <c r="AF92" s="1"/>
      <c r="AG92" s="1"/>
    </row>
    <row r="93" spans="1:33">
      <c r="A93" t="s">
        <v>38</v>
      </c>
      <c r="B93">
        <v>807.93074183641602</v>
      </c>
      <c r="C93" t="s">
        <v>1</v>
      </c>
      <c r="K93" s="3"/>
      <c r="U93" s="70">
        <f>IF($D$16="REFPROP",D109/CompressibilityFactor($C$16,"TP","molar si",$B$11+273.15,D109/1000),D109/(1+$D$16*(D109*1000)+$E$16*(D109*1000)^2+$F$16*(D109*1000)^3))</f>
        <v>0</v>
      </c>
      <c r="V93" s="2">
        <f>IF($B$13=4,U93*$B$24*$B$26/($B$24+$B$26)^2,IF($B$13=3,U93*$B$24/($B$24+$B$26),0))</f>
        <v>0</v>
      </c>
      <c r="W93" s="71" t="e">
        <f>V93/V95</f>
        <v>#VALUE!</v>
      </c>
      <c r="AB93" s="1"/>
      <c r="AC93" s="1"/>
      <c r="AD93" s="1"/>
      <c r="AE93" s="1"/>
      <c r="AF93" s="1"/>
      <c r="AG93" s="1"/>
    </row>
    <row r="94" spans="1:33">
      <c r="A94" t="s">
        <v>37</v>
      </c>
      <c r="B94">
        <v>807.93074183641602</v>
      </c>
      <c r="C94" t="s">
        <v>1</v>
      </c>
      <c r="D94" t="s">
        <v>151</v>
      </c>
      <c r="E94">
        <v>1</v>
      </c>
      <c r="K94" s="3"/>
      <c r="U94" s="70">
        <f>IF($D$17="REFPROP",D110/CompressibilityFactor($C$17,"TP","molar si",$B$11+273.15,D110/1000),D110/(1+$D$17*(D110*1000)+$E$17*(D110*1000)^2+$F$17*(D110*1000)^3))</f>
        <v>0</v>
      </c>
      <c r="V94" s="2">
        <f>IF($B$13=4,U94*$B$24/($B$24+$B$26),0)</f>
        <v>0</v>
      </c>
      <c r="W94" s="71" t="e">
        <f>V94/V95</f>
        <v>#VALUE!</v>
      </c>
      <c r="AB94" s="1"/>
      <c r="AC94" s="1"/>
      <c r="AD94" s="1"/>
      <c r="AE94" s="1"/>
      <c r="AF94" s="1"/>
      <c r="AG94" s="1"/>
    </row>
    <row r="95" spans="1:33" ht="14" thickBot="1">
      <c r="A95" t="s">
        <v>36</v>
      </c>
      <c r="B95">
        <v>497.65891562951202</v>
      </c>
      <c r="C95" t="s">
        <v>1</v>
      </c>
      <c r="K95" s="3"/>
      <c r="U95" s="86"/>
      <c r="V95" s="74" t="e">
        <f>SUM(V91:V94)</f>
        <v>#VALUE!</v>
      </c>
      <c r="W95" s="75"/>
      <c r="AB95" s="1"/>
      <c r="AC95" s="1"/>
      <c r="AD95" s="1"/>
      <c r="AE95" s="1"/>
      <c r="AF95" s="1"/>
      <c r="AG95" s="1"/>
    </row>
    <row r="96" spans="1:33" ht="14" thickBot="1">
      <c r="A96" t="s">
        <v>35</v>
      </c>
      <c r="B96">
        <v>497.93949469214402</v>
      </c>
      <c r="C96" t="s">
        <v>1</v>
      </c>
      <c r="K96" s="3"/>
      <c r="P96" s="76" t="s">
        <v>139</v>
      </c>
      <c r="Q96" s="77"/>
      <c r="R96" s="78" t="s">
        <v>134</v>
      </c>
      <c r="S96" s="79" t="s">
        <v>133</v>
      </c>
      <c r="T96" s="76" t="s">
        <v>140</v>
      </c>
      <c r="U96" s="77"/>
      <c r="V96" s="78"/>
      <c r="W96" s="79"/>
      <c r="AB96" s="1"/>
      <c r="AC96" s="1"/>
      <c r="AD96" s="1"/>
      <c r="AE96" s="1"/>
      <c r="AF96" s="1"/>
      <c r="AG96" s="1"/>
    </row>
    <row r="97" spans="1:33" ht="14" thickTop="1">
      <c r="A97" t="s">
        <v>34</v>
      </c>
      <c r="B97">
        <v>497.65891562951202</v>
      </c>
      <c r="C97" t="s">
        <v>1</v>
      </c>
      <c r="D97" t="s">
        <v>152</v>
      </c>
      <c r="E97">
        <v>1</v>
      </c>
      <c r="K97" s="3"/>
      <c r="P97" s="70"/>
      <c r="S97" s="71"/>
      <c r="T97" s="70"/>
      <c r="W97" s="80"/>
      <c r="AB97" s="1"/>
      <c r="AC97" s="1"/>
      <c r="AD97" s="1"/>
      <c r="AE97" s="1"/>
      <c r="AF97" s="1"/>
      <c r="AG97" s="1"/>
    </row>
    <row r="98" spans="1:33">
      <c r="A98" t="s">
        <v>33</v>
      </c>
      <c r="B98">
        <v>497.93949469214402</v>
      </c>
      <c r="C98" t="s">
        <v>1</v>
      </c>
      <c r="D98" t="s">
        <v>153</v>
      </c>
      <c r="E98">
        <v>1</v>
      </c>
      <c r="K98" s="3"/>
      <c r="P98" s="70" t="str">
        <f>$C$14</f>
        <v>propane</v>
      </c>
      <c r="Q98" s="8" t="e">
        <f>P107-R98/CompressibilityFactor($C$14,"TP","molar si",$B$11+273.15,R98/1000)</f>
        <v>#VALUE!</v>
      </c>
      <c r="R98" s="8">
        <v>250.32134298261224</v>
      </c>
      <c r="S98" s="72" t="e">
        <f>(P107)/(1-$O$20*P107*1000-$P$20*(P107*1000)^2-$Q$20*(P107*1000)^3)</f>
        <v>#VALUE!</v>
      </c>
      <c r="T98" s="70"/>
      <c r="U98" s="2" t="str">
        <f>$C$14</f>
        <v>propane</v>
      </c>
      <c r="V98" s="2" t="e">
        <f>V102*W91</f>
        <v>#VALUE!</v>
      </c>
      <c r="W98" s="71"/>
      <c r="AB98" s="1"/>
      <c r="AC98" s="1"/>
      <c r="AD98" s="1"/>
      <c r="AE98" s="1"/>
      <c r="AF98" s="1"/>
      <c r="AG98" s="1"/>
    </row>
    <row r="99" spans="1:33">
      <c r="A99" t="s">
        <v>32</v>
      </c>
      <c r="B99">
        <v>60</v>
      </c>
      <c r="C99" t="s">
        <v>31</v>
      </c>
      <c r="K99" s="3"/>
      <c r="P99" s="70" t="str">
        <f>$C$15</f>
        <v>propylene</v>
      </c>
      <c r="Q99" s="8" t="e">
        <f>P108-R99/CompressibilityFactor($C$15,"TP","molar si",$B$11+273.15,R99/1000)</f>
        <v>#VALUE!</v>
      </c>
      <c r="R99" s="8">
        <v>268.43149572955542</v>
      </c>
      <c r="S99" s="72" t="e">
        <f>(P108)/(1-$O$21*P108*1000-$P$21*(P108*1000)^2-$Q$21*(P108*1000)^3)</f>
        <v>#VALUE!</v>
      </c>
      <c r="T99" s="70"/>
      <c r="U99" s="2" t="str">
        <f>$C$15</f>
        <v>propylene</v>
      </c>
      <c r="V99" s="2" t="e">
        <f>V102*W92</f>
        <v>#VALUE!</v>
      </c>
      <c r="W99" s="71"/>
      <c r="AB99" s="1"/>
      <c r="AC99" s="1"/>
      <c r="AD99" s="1"/>
      <c r="AE99" s="1"/>
      <c r="AF99" s="1"/>
      <c r="AG99" s="1"/>
    </row>
    <row r="100" spans="1:33">
      <c r="A100" t="s">
        <v>30</v>
      </c>
      <c r="B100">
        <v>75.558466963640598</v>
      </c>
      <c r="C100" t="s">
        <v>29</v>
      </c>
      <c r="K100" s="3"/>
      <c r="P100" s="70">
        <f>$C$16</f>
        <v>0</v>
      </c>
      <c r="Q100" s="8" t="e">
        <f>P109-R100/CompressibilityFactor($C$16,"TP","molar si",$B$11+273.15,R100/1000)</f>
        <v>#VALUE!</v>
      </c>
      <c r="R100" s="8">
        <v>1.7469709962580346</v>
      </c>
      <c r="S100" s="72" t="e">
        <f>(P109)/(1-$O$22*P109*1000-$P$22*(P109*1000)^2-$Q$22*(P109*1000)^3)</f>
        <v>#VALUE!</v>
      </c>
      <c r="T100" s="70"/>
      <c r="U100" s="2">
        <f>$C$16</f>
        <v>0</v>
      </c>
      <c r="V100" s="2" t="e">
        <f>V102*W93</f>
        <v>#VALUE!</v>
      </c>
      <c r="W100" s="71"/>
      <c r="AB100" s="1"/>
      <c r="AC100" s="1"/>
      <c r="AD100" s="1"/>
      <c r="AE100" s="1"/>
      <c r="AF100" s="1"/>
      <c r="AG100" s="1"/>
    </row>
    <row r="101" spans="1:33">
      <c r="A101" t="s">
        <v>28</v>
      </c>
      <c r="B101">
        <v>136.14138191647001</v>
      </c>
      <c r="C101" t="s">
        <v>27</v>
      </c>
      <c r="K101" s="3"/>
      <c r="P101" s="70">
        <f>$C$17</f>
        <v>0</v>
      </c>
      <c r="Q101" s="8" t="e">
        <f>P110-R101/CompressibilityFactor($C$17,"TP","molar si",$B$11+273.15,R101/1000)</f>
        <v>#VALUE!</v>
      </c>
      <c r="R101" s="8">
        <v>0</v>
      </c>
      <c r="S101" s="72" t="e">
        <f>(P110)/(1-$O$23*P110*1000-$P$23*(P110*1000)^2-$Q$23*(P110*1000)^3)</f>
        <v>#VALUE!</v>
      </c>
      <c r="T101" s="70"/>
      <c r="U101" s="2">
        <f>$C$17</f>
        <v>0</v>
      </c>
      <c r="V101" s="2" t="e">
        <f>V102*W94</f>
        <v>#VALUE!</v>
      </c>
      <c r="W101" s="71"/>
      <c r="AB101" s="1"/>
      <c r="AC101" s="1"/>
      <c r="AD101" s="1"/>
      <c r="AE101" s="1"/>
      <c r="AF101" s="1"/>
      <c r="AG101" s="1"/>
    </row>
    <row r="102" spans="1:33" ht="14" thickBot="1">
      <c r="A102" t="s">
        <v>26</v>
      </c>
      <c r="B102" s="125">
        <v>44115.494629629633</v>
      </c>
      <c r="K102" s="3"/>
      <c r="P102" s="73" t="e">
        <f>IF($B$13&lt;4,IF($B$13&lt;3,CONCATENATE($C$14,";",O107,";",$C$15,";",O108),CONCATENATE($C$14,";",O107,";",$C$15,";",O108,";",$C$16,";",O109)),CONCATENATE($C$14,";",O107,";",$C$15,";",O108,";",$C$16,";",O109,";",$C$17,";",O110))</f>
        <v>#VALUE!</v>
      </c>
      <c r="Q102" s="74"/>
      <c r="R102" s="74"/>
      <c r="S102" s="75"/>
      <c r="T102" s="73" t="e">
        <f>IF($B$13&lt;4,IF($B$13&lt;3,CONCATENATE($C$14,";",W91,";",$C$15,";",W92),CONCATENATE($C$14,";",W91,";",$C$15,";",W92,";",$C$16,";",W93)),CONCATENATE($C$14,";",W91,";",$C$15,";",W92,";",$C$16,";",W93,";",$C$17,";",W94))</f>
        <v>#VALUE!</v>
      </c>
      <c r="U102" s="74" t="s">
        <v>141</v>
      </c>
      <c r="V102" s="74" t="e">
        <f>IF($D$19="REFPROP",B93/CompressibilityFactor($T102,"TP","molar si",$B$11+273.15,B93/1000),B93/(1+$D$19*(B93*1000)+$E$19*(B93*1000)^2+$F$19*(B93*1000)^3))</f>
        <v>#VALUE!</v>
      </c>
      <c r="W102" s="75"/>
      <c r="AB102" s="1"/>
      <c r="AC102" s="1"/>
      <c r="AD102" s="1"/>
      <c r="AE102" s="1"/>
      <c r="AF102" s="1"/>
      <c r="AG102" s="1"/>
    </row>
    <row r="103" spans="1:33">
      <c r="A103" t="s">
        <v>25</v>
      </c>
      <c r="B103">
        <v>5</v>
      </c>
      <c r="C103" t="s">
        <v>24</v>
      </c>
      <c r="K103" s="3"/>
      <c r="W103" s="26"/>
      <c r="AB103" s="1"/>
      <c r="AC103" s="1"/>
      <c r="AD103" s="1"/>
      <c r="AE103" s="1"/>
      <c r="AF103" s="1"/>
      <c r="AG103" s="1"/>
    </row>
    <row r="104" spans="1:33">
      <c r="A104" t="s">
        <v>23</v>
      </c>
      <c r="B104" t="s">
        <v>22</v>
      </c>
      <c r="C104" t="s">
        <v>21</v>
      </c>
      <c r="D104" t="s">
        <v>20</v>
      </c>
      <c r="E104" t="s">
        <v>20</v>
      </c>
      <c r="F104" t="s">
        <v>19</v>
      </c>
      <c r="G104" t="s">
        <v>18</v>
      </c>
      <c r="H104" t="s">
        <v>17</v>
      </c>
      <c r="I104" t="s">
        <v>17</v>
      </c>
      <c r="K104" s="3"/>
      <c r="L104" s="12" t="s">
        <v>116</v>
      </c>
      <c r="M104" s="12" t="s">
        <v>117</v>
      </c>
      <c r="N104" s="12" t="s">
        <v>82</v>
      </c>
      <c r="O104" s="12" t="s">
        <v>122</v>
      </c>
      <c r="P104" s="12" t="s">
        <v>123</v>
      </c>
      <c r="Q104" s="12" t="s">
        <v>124</v>
      </c>
      <c r="R104" s="12" t="s">
        <v>123</v>
      </c>
      <c r="S104" s="12" t="s">
        <v>74</v>
      </c>
      <c r="T104" s="12" t="s">
        <v>125</v>
      </c>
      <c r="U104" s="12" t="s">
        <v>81</v>
      </c>
      <c r="V104" s="12" t="s">
        <v>126</v>
      </c>
      <c r="W104" s="25" t="s">
        <v>127</v>
      </c>
      <c r="AB104" s="1"/>
      <c r="AC104" s="1"/>
      <c r="AD104" s="1"/>
      <c r="AE104" s="1"/>
      <c r="AF104" s="1"/>
      <c r="AG104" s="1"/>
    </row>
    <row r="105" spans="1:33">
      <c r="C105" t="s">
        <v>14</v>
      </c>
      <c r="D105" t="s">
        <v>16</v>
      </c>
      <c r="E105" t="s">
        <v>15</v>
      </c>
      <c r="F105" t="s">
        <v>15</v>
      </c>
      <c r="G105" t="s">
        <v>15</v>
      </c>
      <c r="H105" t="s">
        <v>15</v>
      </c>
      <c r="I105" t="s">
        <v>14</v>
      </c>
      <c r="K105" s="3"/>
      <c r="L105" s="14"/>
      <c r="M105" s="14"/>
      <c r="N105" s="14" t="s">
        <v>159</v>
      </c>
      <c r="O105" s="12"/>
      <c r="P105" s="12" t="s">
        <v>160</v>
      </c>
      <c r="Q105" s="12"/>
      <c r="R105" s="14" t="s">
        <v>128</v>
      </c>
      <c r="S105" s="14"/>
      <c r="T105" s="12" t="s">
        <v>160</v>
      </c>
      <c r="V105" s="12"/>
      <c r="W105" s="26"/>
      <c r="AB105" s="1"/>
      <c r="AC105" s="1"/>
      <c r="AD105" s="1"/>
      <c r="AE105" s="1"/>
      <c r="AF105" s="1"/>
      <c r="AG105" s="1"/>
    </row>
    <row r="106" spans="1:33">
      <c r="C106" t="s">
        <v>1</v>
      </c>
      <c r="D106" t="s">
        <v>1</v>
      </c>
      <c r="E106" t="s">
        <v>1</v>
      </c>
      <c r="F106" t="s">
        <v>13</v>
      </c>
      <c r="G106" t="s">
        <v>1</v>
      </c>
      <c r="H106" t="s">
        <v>1</v>
      </c>
      <c r="I106" t="s">
        <v>1</v>
      </c>
      <c r="K106" s="3"/>
      <c r="L106" s="12"/>
      <c r="M106" s="12"/>
      <c r="N106" s="12"/>
      <c r="O106" s="12" t="s">
        <v>129</v>
      </c>
      <c r="P106" s="12" t="s">
        <v>130</v>
      </c>
      <c r="Q106" s="12" t="s">
        <v>129</v>
      </c>
      <c r="R106" s="12" t="s">
        <v>130</v>
      </c>
      <c r="S106" s="12" t="s">
        <v>129</v>
      </c>
      <c r="T106" s="12" t="s">
        <v>130</v>
      </c>
      <c r="U106" s="13" t="s">
        <v>80</v>
      </c>
      <c r="V106" s="13" t="s">
        <v>131</v>
      </c>
      <c r="W106" s="25" t="s">
        <v>129</v>
      </c>
      <c r="AB106" s="1"/>
      <c r="AC106" s="1"/>
      <c r="AD106" s="1"/>
      <c r="AE106" s="1"/>
      <c r="AF106" s="1"/>
      <c r="AG106" s="1"/>
    </row>
    <row r="107" spans="1:33">
      <c r="A107" t="s">
        <v>12</v>
      </c>
      <c r="B107" t="s">
        <v>174</v>
      </c>
      <c r="C107">
        <v>754.22559298255101</v>
      </c>
      <c r="D107">
        <v>754.61962875392703</v>
      </c>
      <c r="E107">
        <v>754.61962875392703</v>
      </c>
      <c r="F107">
        <v>49.991514512877202</v>
      </c>
      <c r="G107">
        <v>403.89681405914803</v>
      </c>
      <c r="H107">
        <v>289.15459623753702</v>
      </c>
      <c r="I107">
        <v>289.15459623753702</v>
      </c>
      <c r="K107" s="3" t="str">
        <f>$M$20</f>
        <v>propane</v>
      </c>
      <c r="L107" s="10">
        <v>9285680</v>
      </c>
      <c r="M107" s="10">
        <v>8781390</v>
      </c>
      <c r="N107" s="9" t="e">
        <f>IF(K107="He",0,IF(W91=0,0,W91/L107))</f>
        <v>#VALUE!</v>
      </c>
      <c r="O107" s="6" t="e">
        <f>(M107*N107)/(N107*M107+M108*N108+M109*N109+M110*N110)</f>
        <v>#VALUE!</v>
      </c>
      <c r="P107" s="8" t="e">
        <f>IF(OR(K107="He",K107="helium"),H107,O107*(P111-P112))</f>
        <v>#VALUE!</v>
      </c>
      <c r="Q107" s="6" t="e">
        <f>P107/P111</f>
        <v>#VALUE!</v>
      </c>
      <c r="R107" s="8">
        <f>IF($D$14="REFPROP",R98,S98)</f>
        <v>250.32134298261224</v>
      </c>
      <c r="S107" s="6">
        <f>R107/R111</f>
        <v>0.50299780657193505</v>
      </c>
      <c r="T107" s="8" t="e">
        <f>Q107*T111</f>
        <v>#VALUE!</v>
      </c>
      <c r="U107" s="7" t="e">
        <f xml:space="preserve"> (V98*($B$24+$B$26)-(P107*($B$24+$B$26+$B$28)))/101.325/(273.15+$B$10)*273.15</f>
        <v>#VALUE!</v>
      </c>
      <c r="V107" s="7" t="e">
        <f xml:space="preserve"> (V98*($B$24+$B$26)-(P107*($B$24+$B$26+$B$28)))/101.325/(273.15+$B$10)*273.15/$B$9</f>
        <v>#VALUE!</v>
      </c>
      <c r="W107" s="23" t="e">
        <f>V107/V111</f>
        <v>#VALUE!</v>
      </c>
      <c r="AB107" s="1"/>
      <c r="AC107" s="1"/>
      <c r="AD107" s="1"/>
      <c r="AE107" s="1"/>
      <c r="AF107" s="1"/>
      <c r="AG107" s="1"/>
    </row>
    <row r="108" spans="1:33">
      <c r="A108" t="s">
        <v>11</v>
      </c>
      <c r="B108" t="s">
        <v>170</v>
      </c>
      <c r="C108">
        <v>942.94232830152703</v>
      </c>
      <c r="D108">
        <v>943.75523134264904</v>
      </c>
      <c r="E108">
        <v>943.75523134264904</v>
      </c>
      <c r="F108">
        <v>50.008485487122897</v>
      </c>
      <c r="G108">
        <v>404.03392777726799</v>
      </c>
      <c r="H108">
        <v>289.25275760059202</v>
      </c>
      <c r="I108">
        <v>289.25275760059202</v>
      </c>
      <c r="K108" s="24" t="str">
        <f>$M$21</f>
        <v>propylene</v>
      </c>
      <c r="L108" s="10">
        <v>10776000</v>
      </c>
      <c r="M108" s="10">
        <v>10675700</v>
      </c>
      <c r="N108" s="9" t="e">
        <f t="shared" ref="N108:N110" si="3">IF(K108="He",0,IF(W92=0,0,W92/L108))</f>
        <v>#VALUE!</v>
      </c>
      <c r="O108" s="6" t="e">
        <f>(M108*N108)/(N107*M107+M108*N108+M109*N109+M110*N110)</f>
        <v>#VALUE!</v>
      </c>
      <c r="P108" s="8" t="e">
        <f>IF(OR(K108="He",K108="helium"),H108,O108*(P111-P112))</f>
        <v>#VALUE!</v>
      </c>
      <c r="Q108" s="6" t="e">
        <f>P108/P111</f>
        <v>#VALUE!</v>
      </c>
      <c r="R108" s="8">
        <f>IF($D$15="REFPROP",R99,S99)</f>
        <v>268.43149572955542</v>
      </c>
      <c r="S108" s="6">
        <f>R108/R111</f>
        <v>0.53938849943038569</v>
      </c>
      <c r="T108" s="8" t="e">
        <f>Q108*T111</f>
        <v>#VALUE!</v>
      </c>
      <c r="U108" s="7" t="e">
        <f xml:space="preserve"> (V99*($B$24+$B$26)-(P108*($B$24+$B$26+$B$28)))/101.325/(273.15+$B$10)*273.15</f>
        <v>#VALUE!</v>
      </c>
      <c r="V108" s="7" t="e">
        <f xml:space="preserve"> (V99*($B$24+$B$26)-(P108*($B$24+$B$26+$B$28)))/101.325/(273.15+$B$10)*273.15/$B$9</f>
        <v>#VALUE!</v>
      </c>
      <c r="W108" s="23" t="e">
        <f>V108/V111</f>
        <v>#VALUE!</v>
      </c>
      <c r="AB108" s="1"/>
      <c r="AC108" s="1"/>
      <c r="AD108" s="1"/>
      <c r="AE108" s="1"/>
      <c r="AF108" s="1"/>
      <c r="AG108" s="1"/>
    </row>
    <row r="109" spans="1:33">
      <c r="A109" t="s">
        <v>10</v>
      </c>
      <c r="B109" t="s">
        <v>157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K109" s="3" t="str">
        <f>$M$22</f>
        <v/>
      </c>
      <c r="L109" s="10">
        <v>0</v>
      </c>
      <c r="M109" s="10">
        <v>0</v>
      </c>
      <c r="N109" s="9" t="e">
        <f t="shared" si="3"/>
        <v>#VALUE!</v>
      </c>
      <c r="O109" s="6" t="e">
        <f>(M109*N109)/(N107*M107+M108*N108+M109*N109+M110*N110)</f>
        <v>#VALUE!</v>
      </c>
      <c r="P109" s="8" t="e">
        <f>IF(OR(K109="He",K109="helium"),H109,O109*(P111-P112))</f>
        <v>#VALUE!</v>
      </c>
      <c r="Q109" s="6" t="e">
        <f>P109/P111</f>
        <v>#VALUE!</v>
      </c>
      <c r="R109" s="8" t="e">
        <f>IF($D$16="REFPROP",R100,S100)</f>
        <v>#VALUE!</v>
      </c>
      <c r="S109" s="6" t="e">
        <f>R109/R111</f>
        <v>#VALUE!</v>
      </c>
      <c r="T109" s="8" t="e">
        <f>Q109*T111</f>
        <v>#VALUE!</v>
      </c>
      <c r="U109" s="7" t="e">
        <f xml:space="preserve"> (V100*($B$24+$B$26)-(P109*($B$24+$B$26+$B$28)))/101.325/(273.15+$B$10)*273.15</f>
        <v>#VALUE!</v>
      </c>
      <c r="V109" s="7" t="e">
        <f xml:space="preserve"> (V100*($B$24+$B$26)-(P109*($B$24+$B$26+$B$28)))/101.325/(273.15+$B$10)*273.15/$B$9</f>
        <v>#VALUE!</v>
      </c>
      <c r="W109" s="23" t="e">
        <f>V109/V111</f>
        <v>#VALUE!</v>
      </c>
      <c r="AB109" s="1"/>
      <c r="AC109" s="1"/>
      <c r="AD109" s="1"/>
      <c r="AE109" s="1"/>
      <c r="AF109" s="1"/>
      <c r="AG109" s="1"/>
    </row>
    <row r="110" spans="1:33">
      <c r="A110" t="s">
        <v>9</v>
      </c>
      <c r="B110" t="s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K110" s="3" t="str">
        <f>$M$23</f>
        <v/>
      </c>
      <c r="L110" s="10">
        <v>0</v>
      </c>
      <c r="M110" s="10">
        <v>0</v>
      </c>
      <c r="N110" s="9" t="e">
        <f t="shared" si="3"/>
        <v>#VALUE!</v>
      </c>
      <c r="O110" s="6" t="e">
        <f>(M110*N110)/(N107*M107+M108*N108+M109*N109+M110*N110)</f>
        <v>#VALUE!</v>
      </c>
      <c r="P110" s="8" t="e">
        <f>IF(OR(K110="He",K110="helium"),H110,O110*(P111-P112))</f>
        <v>#VALUE!</v>
      </c>
      <c r="Q110" s="6" t="e">
        <f>P110/P111</f>
        <v>#VALUE!</v>
      </c>
      <c r="R110" s="8" t="e">
        <f>IF($D$17="REFPROP",R101,S101)</f>
        <v>#VALUE!</v>
      </c>
      <c r="S110" s="6" t="e">
        <f>R110/R111</f>
        <v>#VALUE!</v>
      </c>
      <c r="T110" s="8" t="e">
        <f>Q110*T111</f>
        <v>#VALUE!</v>
      </c>
      <c r="U110" s="7" t="e">
        <f xml:space="preserve"> (V101*($B$24+$B$26)-(P110*($B$24+$B$26+$B$28)))/101.325/(273.15+$B$10)*273.15</f>
        <v>#VALUE!</v>
      </c>
      <c r="V110" s="7" t="e">
        <f xml:space="preserve"> (V101*($B$24+$B$26)-(P110*($B$24+$B$26+$B$28)))/101.325/(273.15+$B$10)*273.15/$B$9</f>
        <v>#VALUE!</v>
      </c>
      <c r="W110" s="23" t="e">
        <f>V110/V111</f>
        <v>#VALUE!</v>
      </c>
      <c r="AB110" s="1"/>
      <c r="AC110" s="1"/>
      <c r="AD110" s="1"/>
      <c r="AE110" s="1"/>
      <c r="AF110" s="1"/>
      <c r="AG110" s="1"/>
    </row>
    <row r="111" spans="1:33">
      <c r="A111" t="s">
        <v>8</v>
      </c>
      <c r="B111" t="s">
        <v>7</v>
      </c>
      <c r="C111">
        <v>838.09177370437101</v>
      </c>
      <c r="D111">
        <v>807.93074183641602</v>
      </c>
      <c r="F111">
        <v>100</v>
      </c>
      <c r="G111">
        <v>807.93074183641602</v>
      </c>
      <c r="H111">
        <v>578.40735383812898</v>
      </c>
      <c r="I111">
        <v>578.40735383812898</v>
      </c>
      <c r="K111" s="3"/>
      <c r="O111" s="6" t="e">
        <f>SUM(O107:O110)</f>
        <v>#VALUE!</v>
      </c>
      <c r="P111" s="8" t="e">
        <f>IF($D$19="REFPROP",B95/CompressibilityFactor($P102,"TP","molar si",$B$11+273.15,B95/1000),B95/(1+$D$19*(B95*1000)+$E$19*(B95*1000)^2+$F$19*(B95*1000)^3))</f>
        <v>#VALUE!</v>
      </c>
      <c r="Q111" s="6" t="e">
        <f>SUM(Q107:Q110)</f>
        <v>#VALUE!</v>
      </c>
      <c r="R111" s="69">
        <f>B95</f>
        <v>497.65891562951202</v>
      </c>
      <c r="S111" s="6">
        <f>R111/R111</f>
        <v>1</v>
      </c>
      <c r="T111" s="8" t="e">
        <f>IF(D69="REFPROP",B96/CompressibilityFactor($P102,"TP","molar si",$B$11+273.15,B96/1000),B96/(1+$D$19*(B96*1000)+$E$19*(B96*1000)^2+$F$19*(B96*1000)^3))</f>
        <v>#VALUE!</v>
      </c>
      <c r="U111" s="7" t="e">
        <f xml:space="preserve"> (V102*($B$24+$B$26)-(P111*($B$24+$B$26+$B$28)))/101.325/(273.15+$B$10)*273.15</f>
        <v>#VALUE!</v>
      </c>
      <c r="V111" s="7" t="e">
        <f xml:space="preserve"> (V102*($B$24+$B$26)-(P111*($B$24+$B$26+$B$28)))/101.325/(273.15+$B$10)*273.15/$B$9</f>
        <v>#VALUE!</v>
      </c>
      <c r="W111" s="23" t="e">
        <f>V111/V111</f>
        <v>#VALUE!</v>
      </c>
      <c r="AB111" s="1"/>
      <c r="AC111" s="1"/>
      <c r="AD111" s="1"/>
      <c r="AE111" s="1"/>
      <c r="AF111" s="1"/>
      <c r="AG111" s="1"/>
    </row>
    <row r="112" spans="1:33">
      <c r="K112" s="22"/>
      <c r="L112" s="17"/>
      <c r="M112" s="21"/>
      <c r="N112" s="20"/>
      <c r="O112" s="19" t="s">
        <v>138</v>
      </c>
      <c r="P112" s="18">
        <f>IF(OR(K107="He",K107="helium"),H107,IF(OR(K108="He",K108="helium"),H108,IF(OR(K109="He",K109="helium"),H109,IF(OR(K110="He",K110="helium"),H110,0))))</f>
        <v>0</v>
      </c>
      <c r="Q112" s="17"/>
      <c r="R112" s="17"/>
      <c r="S112" s="17"/>
      <c r="T112" s="17"/>
      <c r="U112" s="17"/>
      <c r="V112" s="17"/>
      <c r="W112" s="16"/>
      <c r="AB112" s="1"/>
      <c r="AC112" s="1"/>
      <c r="AD112" s="1"/>
      <c r="AE112" s="1"/>
      <c r="AF112" s="1"/>
      <c r="AG112" s="1"/>
    </row>
    <row r="113" spans="16:33">
      <c r="AB113" s="1"/>
      <c r="AC113" s="1"/>
      <c r="AD113" s="1"/>
      <c r="AE113" s="1"/>
      <c r="AF113" s="1"/>
      <c r="AG113" s="1"/>
    </row>
    <row r="114" spans="16:33">
      <c r="AB114" s="1"/>
      <c r="AC114" s="1"/>
      <c r="AD114" s="1"/>
      <c r="AE114" s="1"/>
      <c r="AF114" s="1"/>
      <c r="AG114" s="1"/>
    </row>
    <row r="115" spans="16:33">
      <c r="AB115" s="1"/>
      <c r="AC115" s="1"/>
      <c r="AD115" s="1"/>
      <c r="AE115" s="1"/>
      <c r="AF115" s="1"/>
      <c r="AG115" s="1"/>
    </row>
    <row r="116" spans="16:33">
      <c r="AB116" s="1"/>
      <c r="AC116" s="1"/>
      <c r="AD116" s="1"/>
      <c r="AE116" s="1"/>
      <c r="AF116" s="1"/>
      <c r="AG116" s="1"/>
    </row>
    <row r="117" spans="16:33">
      <c r="AB117" s="1"/>
      <c r="AC117" s="1"/>
      <c r="AD117" s="1"/>
      <c r="AE117" s="1"/>
      <c r="AF117" s="1"/>
      <c r="AG117" s="1"/>
    </row>
    <row r="118" spans="16:33">
      <c r="AB118" s="1"/>
      <c r="AC118" s="1"/>
      <c r="AD118" s="1"/>
      <c r="AE118" s="1"/>
      <c r="AF118" s="1"/>
      <c r="AG118" s="1"/>
    </row>
    <row r="119" spans="16:33">
      <c r="AB119" s="1"/>
      <c r="AC119" s="1"/>
      <c r="AD119" s="1"/>
      <c r="AE119" s="1"/>
      <c r="AF119" s="1"/>
      <c r="AG119" s="1"/>
    </row>
    <row r="120" spans="16:33">
      <c r="AB120" s="1"/>
      <c r="AC120" s="1"/>
      <c r="AD120" s="1"/>
      <c r="AE120" s="1"/>
      <c r="AF120" s="1"/>
      <c r="AG120" s="1"/>
    </row>
    <row r="121" spans="16:33">
      <c r="R121" s="12"/>
      <c r="S121" s="12"/>
      <c r="V121" s="12"/>
      <c r="W121" s="12"/>
      <c r="AB121" s="1"/>
      <c r="AC121" s="1"/>
      <c r="AD121" s="1"/>
      <c r="AE121" s="1"/>
      <c r="AF121" s="1"/>
      <c r="AG121" s="1"/>
    </row>
    <row r="122" spans="16:33">
      <c r="W122" s="12"/>
      <c r="AB122" s="1"/>
      <c r="AC122" s="1"/>
      <c r="AD122" s="1"/>
      <c r="AE122" s="1"/>
      <c r="AF122" s="1"/>
      <c r="AG122" s="1"/>
    </row>
    <row r="123" spans="16:33">
      <c r="Q123" s="8"/>
      <c r="R123" s="8"/>
      <c r="S123" s="8"/>
      <c r="AB123" s="1"/>
      <c r="AC123" s="1"/>
      <c r="AD123" s="1"/>
      <c r="AE123" s="1"/>
      <c r="AF123" s="1"/>
      <c r="AG123" s="1"/>
    </row>
    <row r="124" spans="16:33">
      <c r="Q124" s="8"/>
      <c r="R124" s="8"/>
      <c r="S124" s="8"/>
      <c r="AB124" s="1"/>
      <c r="AC124" s="1"/>
      <c r="AD124" s="1"/>
      <c r="AE124" s="1"/>
      <c r="AF124" s="1"/>
      <c r="AG124" s="1"/>
    </row>
    <row r="125" spans="16:33">
      <c r="Q125" s="8"/>
      <c r="R125" s="8"/>
      <c r="S125" s="8"/>
      <c r="AB125" s="1"/>
      <c r="AC125" s="1"/>
      <c r="AD125" s="1"/>
      <c r="AE125" s="1"/>
      <c r="AF125" s="1"/>
      <c r="AG125" s="1"/>
    </row>
    <row r="126" spans="16:33">
      <c r="Q126" s="8"/>
      <c r="R126" s="8"/>
      <c r="S126" s="8"/>
      <c r="AB126" s="1"/>
      <c r="AC126" s="1"/>
      <c r="AD126" s="1"/>
      <c r="AE126" s="1"/>
      <c r="AF126" s="1"/>
      <c r="AG126" s="1"/>
    </row>
    <row r="127" spans="16:33">
      <c r="P127" s="107"/>
      <c r="T127" s="107"/>
      <c r="AB127" s="1"/>
      <c r="AC127" s="1"/>
      <c r="AD127" s="1"/>
      <c r="AE127" s="1"/>
      <c r="AF127" s="1"/>
      <c r="AG127" s="1"/>
    </row>
    <row r="128" spans="16:33">
      <c r="AB128" s="1"/>
      <c r="AC128" s="1"/>
      <c r="AD128" s="1"/>
      <c r="AE128" s="1"/>
      <c r="AF128" s="1"/>
      <c r="AG128" s="1"/>
    </row>
    <row r="129" spans="11:33"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AB129" s="1"/>
      <c r="AC129" s="1"/>
      <c r="AD129" s="1"/>
      <c r="AE129" s="1"/>
      <c r="AF129" s="1"/>
      <c r="AG129" s="1"/>
    </row>
    <row r="130" spans="11:33">
      <c r="L130" s="14"/>
      <c r="M130" s="14"/>
      <c r="N130" s="14"/>
      <c r="O130" s="12"/>
      <c r="P130" s="12"/>
      <c r="Q130" s="12"/>
      <c r="R130" s="14"/>
      <c r="S130" s="14"/>
      <c r="T130" s="12"/>
      <c r="V130" s="12"/>
      <c r="AB130" s="1"/>
      <c r="AC130" s="1"/>
      <c r="AD130" s="1"/>
      <c r="AE130" s="1"/>
      <c r="AF130" s="1"/>
      <c r="AG130" s="1"/>
    </row>
    <row r="131" spans="11:33">
      <c r="L131" s="12"/>
      <c r="M131" s="12"/>
      <c r="N131" s="12"/>
      <c r="O131" s="12"/>
      <c r="P131" s="12"/>
      <c r="Q131" s="12"/>
      <c r="R131" s="12"/>
      <c r="S131" s="12"/>
      <c r="T131" s="12"/>
      <c r="U131" s="13"/>
      <c r="V131" s="13"/>
      <c r="W131" s="12"/>
      <c r="AB131" s="1"/>
      <c r="AC131" s="1"/>
      <c r="AD131" s="1"/>
      <c r="AE131" s="1"/>
      <c r="AF131" s="1"/>
      <c r="AG131" s="1"/>
    </row>
    <row r="132" spans="11:33">
      <c r="L132" s="10"/>
      <c r="M132" s="10"/>
      <c r="N132" s="9"/>
      <c r="O132" s="6"/>
      <c r="P132" s="8"/>
      <c r="Q132" s="6"/>
      <c r="R132" s="8"/>
      <c r="S132" s="6"/>
      <c r="T132" s="8"/>
      <c r="U132" s="7"/>
      <c r="V132" s="7"/>
      <c r="W132" s="6"/>
      <c r="AB132" s="1"/>
      <c r="AC132" s="1"/>
      <c r="AD132" s="1"/>
      <c r="AE132" s="1"/>
      <c r="AF132" s="1"/>
      <c r="AG132" s="1"/>
    </row>
    <row r="133" spans="11:33">
      <c r="K133" s="11"/>
      <c r="L133" s="10"/>
      <c r="M133" s="10"/>
      <c r="N133" s="9"/>
      <c r="O133" s="6"/>
      <c r="P133" s="8"/>
      <c r="Q133" s="6"/>
      <c r="R133" s="8"/>
      <c r="S133" s="6"/>
      <c r="T133" s="8"/>
      <c r="U133" s="7"/>
      <c r="V133" s="7"/>
      <c r="W133" s="6"/>
      <c r="AB133" s="1"/>
      <c r="AC133" s="1"/>
      <c r="AD133" s="1"/>
      <c r="AE133" s="1"/>
      <c r="AF133" s="1"/>
      <c r="AG133" s="1"/>
    </row>
    <row r="134" spans="11:33">
      <c r="L134" s="10"/>
      <c r="M134" s="10"/>
      <c r="N134" s="9"/>
      <c r="O134" s="6"/>
      <c r="P134" s="8"/>
      <c r="Q134" s="6"/>
      <c r="R134" s="8"/>
      <c r="S134" s="6"/>
      <c r="T134" s="8"/>
      <c r="U134" s="7"/>
      <c r="V134" s="7"/>
      <c r="W134" s="6"/>
      <c r="AB134" s="1"/>
      <c r="AC134" s="1"/>
      <c r="AD134" s="1"/>
      <c r="AE134" s="1"/>
      <c r="AF134" s="1"/>
      <c r="AG134" s="1"/>
    </row>
    <row r="135" spans="11:33">
      <c r="L135" s="10"/>
      <c r="M135" s="10"/>
      <c r="N135" s="9"/>
      <c r="O135" s="6"/>
      <c r="P135" s="8"/>
      <c r="Q135" s="6"/>
      <c r="R135" s="8"/>
      <c r="S135" s="6"/>
      <c r="T135" s="8"/>
      <c r="U135" s="7"/>
      <c r="V135" s="7"/>
      <c r="W135" s="6"/>
      <c r="AB135" s="1"/>
      <c r="AC135" s="1"/>
      <c r="AD135" s="1"/>
      <c r="AE135" s="1"/>
      <c r="AF135" s="1"/>
      <c r="AG135" s="1"/>
    </row>
    <row r="136" spans="11:33">
      <c r="O136" s="6"/>
      <c r="P136" s="8"/>
      <c r="Q136" s="6"/>
      <c r="R136" s="69"/>
      <c r="S136" s="6"/>
      <c r="T136" s="8"/>
      <c r="U136" s="7"/>
      <c r="V136" s="7"/>
      <c r="W136" s="6"/>
      <c r="AB136" s="1"/>
      <c r="AC136" s="1"/>
      <c r="AD136" s="1"/>
      <c r="AE136" s="1"/>
      <c r="AF136" s="1"/>
      <c r="AG136" s="1"/>
    </row>
    <row r="137" spans="11:33">
      <c r="O137" s="5"/>
      <c r="P137" s="4"/>
      <c r="AB137" s="1"/>
      <c r="AC137" s="1"/>
      <c r="AD137" s="1"/>
      <c r="AE137" s="1"/>
      <c r="AF137" s="1"/>
      <c r="AG137" s="1"/>
    </row>
    <row r="138" spans="11:33">
      <c r="AB138" s="1"/>
      <c r="AC138" s="1"/>
      <c r="AD138" s="1"/>
      <c r="AE138" s="1"/>
      <c r="AF138" s="1"/>
      <c r="AG138" s="1"/>
    </row>
    <row r="139" spans="11:33">
      <c r="AB139" s="1"/>
      <c r="AC139" s="1"/>
      <c r="AD139" s="1"/>
      <c r="AE139" s="1"/>
      <c r="AF139" s="1"/>
      <c r="AG139" s="1"/>
    </row>
    <row r="140" spans="11:33">
      <c r="AB140" s="1"/>
      <c r="AC140" s="1"/>
      <c r="AD140" s="1"/>
      <c r="AE140" s="1"/>
      <c r="AF140" s="1"/>
      <c r="AG140" s="1"/>
    </row>
    <row r="141" spans="11:33">
      <c r="AB141" s="1"/>
      <c r="AC141" s="1"/>
      <c r="AD141" s="1"/>
      <c r="AE141" s="1"/>
      <c r="AF141" s="1"/>
      <c r="AG141" s="1"/>
    </row>
    <row r="142" spans="11:33">
      <c r="AB142" s="1"/>
      <c r="AC142" s="1"/>
      <c r="AD142" s="1"/>
      <c r="AE142" s="1"/>
      <c r="AF142" s="1"/>
      <c r="AG142" s="1"/>
    </row>
    <row r="143" spans="11:33">
      <c r="AB143" s="1"/>
      <c r="AC143" s="1"/>
      <c r="AD143" s="1"/>
      <c r="AE143" s="1"/>
      <c r="AF143" s="1"/>
      <c r="AG143" s="1"/>
    </row>
    <row r="144" spans="11:33">
      <c r="AB144" s="1"/>
      <c r="AC144" s="1"/>
      <c r="AD144" s="1"/>
      <c r="AE144" s="1"/>
      <c r="AF144" s="1"/>
      <c r="AG144" s="1"/>
    </row>
    <row r="145" spans="11:33">
      <c r="AB145" s="1"/>
      <c r="AC145" s="1"/>
      <c r="AD145" s="1"/>
      <c r="AE145" s="1"/>
      <c r="AF145" s="1"/>
      <c r="AG145" s="1"/>
    </row>
    <row r="146" spans="11:33">
      <c r="R146" s="12"/>
      <c r="S146" s="12"/>
      <c r="V146" s="12"/>
      <c r="W146" s="12"/>
      <c r="AB146" s="1"/>
      <c r="AC146" s="1"/>
      <c r="AD146" s="1"/>
      <c r="AE146" s="1"/>
      <c r="AF146" s="1"/>
      <c r="AG146" s="1"/>
    </row>
    <row r="147" spans="11:33">
      <c r="W147" s="12"/>
      <c r="AB147" s="1"/>
      <c r="AC147" s="1"/>
      <c r="AD147" s="1"/>
      <c r="AE147" s="1"/>
      <c r="AF147" s="1"/>
      <c r="AG147" s="1"/>
    </row>
    <row r="148" spans="11:33">
      <c r="Q148" s="8"/>
      <c r="R148" s="8"/>
      <c r="S148" s="8"/>
      <c r="AB148" s="1"/>
      <c r="AC148" s="1"/>
      <c r="AD148" s="1"/>
      <c r="AE148" s="1"/>
      <c r="AF148" s="1"/>
      <c r="AG148" s="1"/>
    </row>
    <row r="149" spans="11:33">
      <c r="Q149" s="8"/>
      <c r="R149" s="8"/>
      <c r="S149" s="8"/>
      <c r="AB149" s="1"/>
      <c r="AC149" s="1"/>
      <c r="AD149" s="1"/>
      <c r="AE149" s="1"/>
      <c r="AF149" s="1"/>
      <c r="AG149" s="1"/>
    </row>
    <row r="150" spans="11:33">
      <c r="Q150" s="8"/>
      <c r="R150" s="8"/>
      <c r="S150" s="8"/>
      <c r="AB150" s="1"/>
      <c r="AC150" s="1"/>
      <c r="AD150" s="1"/>
      <c r="AE150" s="1"/>
      <c r="AF150" s="1"/>
      <c r="AG150" s="1"/>
    </row>
    <row r="151" spans="11:33">
      <c r="Q151" s="8"/>
      <c r="R151" s="8"/>
      <c r="S151" s="8"/>
      <c r="AB151" s="1"/>
      <c r="AC151" s="1"/>
      <c r="AD151" s="1"/>
      <c r="AE151" s="1"/>
      <c r="AF151" s="1"/>
      <c r="AG151" s="1"/>
    </row>
    <row r="152" spans="11:33">
      <c r="P152" s="107"/>
      <c r="T152" s="107"/>
      <c r="AB152" s="1"/>
      <c r="AC152" s="1"/>
      <c r="AD152" s="1"/>
      <c r="AE152" s="1"/>
      <c r="AF152" s="1"/>
      <c r="AG152" s="1"/>
    </row>
    <row r="153" spans="11:33">
      <c r="AB153" s="1"/>
      <c r="AC153" s="1"/>
      <c r="AD153" s="1"/>
      <c r="AE153" s="1"/>
      <c r="AF153" s="1"/>
      <c r="AG153" s="1"/>
    </row>
    <row r="154" spans="11:33"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AB154" s="1"/>
      <c r="AC154" s="1"/>
      <c r="AD154" s="1"/>
      <c r="AE154" s="1"/>
      <c r="AF154" s="1"/>
      <c r="AG154" s="1"/>
    </row>
    <row r="155" spans="11:33">
      <c r="L155" s="14"/>
      <c r="M155" s="14"/>
      <c r="N155" s="14"/>
      <c r="O155" s="12"/>
      <c r="P155" s="12"/>
      <c r="Q155" s="12"/>
      <c r="R155" s="14"/>
      <c r="S155" s="14"/>
      <c r="T155" s="12"/>
      <c r="V155" s="12"/>
      <c r="AB155" s="1"/>
      <c r="AC155" s="1"/>
      <c r="AD155" s="1"/>
      <c r="AE155" s="1"/>
      <c r="AF155" s="1"/>
      <c r="AG155" s="1"/>
    </row>
    <row r="156" spans="11:33">
      <c r="L156" s="12"/>
      <c r="M156" s="12"/>
      <c r="N156" s="12"/>
      <c r="O156" s="12"/>
      <c r="P156" s="12"/>
      <c r="Q156" s="12"/>
      <c r="R156" s="12"/>
      <c r="S156" s="12"/>
      <c r="T156" s="12"/>
      <c r="U156" s="13"/>
      <c r="V156" s="13"/>
      <c r="W156" s="12"/>
      <c r="AB156" s="1"/>
      <c r="AC156" s="1"/>
      <c r="AD156" s="1"/>
      <c r="AE156" s="1"/>
      <c r="AF156" s="1"/>
      <c r="AG156" s="1"/>
    </row>
    <row r="157" spans="11:33">
      <c r="L157" s="10"/>
      <c r="M157" s="10"/>
      <c r="N157" s="9"/>
      <c r="O157" s="6"/>
      <c r="P157" s="8"/>
      <c r="Q157" s="6"/>
      <c r="R157" s="8"/>
      <c r="S157" s="6"/>
      <c r="T157" s="8"/>
      <c r="U157" s="7"/>
      <c r="V157" s="7"/>
      <c r="W157" s="6"/>
      <c r="AB157" s="1"/>
      <c r="AC157" s="1"/>
      <c r="AD157" s="1"/>
      <c r="AE157" s="1"/>
      <c r="AF157" s="1"/>
      <c r="AG157" s="1"/>
    </row>
    <row r="158" spans="11:33">
      <c r="K158" s="11"/>
      <c r="L158" s="10"/>
      <c r="M158" s="10"/>
      <c r="N158" s="9"/>
      <c r="O158" s="6"/>
      <c r="P158" s="8"/>
      <c r="Q158" s="6"/>
      <c r="R158" s="8"/>
      <c r="S158" s="6"/>
      <c r="T158" s="8"/>
      <c r="U158" s="7"/>
      <c r="V158" s="7"/>
      <c r="W158" s="6"/>
      <c r="AB158" s="1"/>
      <c r="AC158" s="1"/>
      <c r="AD158" s="1"/>
      <c r="AE158" s="1"/>
      <c r="AF158" s="1"/>
      <c r="AG158" s="1"/>
    </row>
    <row r="159" spans="11:33">
      <c r="L159" s="10"/>
      <c r="M159" s="10"/>
      <c r="N159" s="9"/>
      <c r="O159" s="6"/>
      <c r="P159" s="8"/>
      <c r="Q159" s="6"/>
      <c r="R159" s="8"/>
      <c r="S159" s="6"/>
      <c r="T159" s="8"/>
      <c r="U159" s="7"/>
      <c r="V159" s="7"/>
      <c r="W159" s="6"/>
      <c r="AB159" s="1"/>
      <c r="AC159" s="1"/>
      <c r="AD159" s="1"/>
      <c r="AE159" s="1"/>
      <c r="AF159" s="1"/>
      <c r="AG159" s="1"/>
    </row>
    <row r="160" spans="11:33">
      <c r="L160" s="10"/>
      <c r="M160" s="10"/>
      <c r="N160" s="9"/>
      <c r="O160" s="6"/>
      <c r="P160" s="8"/>
      <c r="Q160" s="6"/>
      <c r="R160" s="8"/>
      <c r="S160" s="6"/>
      <c r="T160" s="8"/>
      <c r="U160" s="7"/>
      <c r="V160" s="7"/>
      <c r="W160" s="6"/>
      <c r="AB160" s="1"/>
      <c r="AC160" s="1"/>
      <c r="AD160" s="1"/>
      <c r="AE160" s="1"/>
      <c r="AF160" s="1"/>
      <c r="AG160" s="1"/>
    </row>
    <row r="161" spans="15:33">
      <c r="O161" s="6"/>
      <c r="P161" s="8"/>
      <c r="Q161" s="6"/>
      <c r="R161" s="69"/>
      <c r="S161" s="6"/>
      <c r="T161" s="8"/>
      <c r="U161" s="7"/>
      <c r="V161" s="7"/>
      <c r="W161" s="6"/>
      <c r="AB161" s="1"/>
      <c r="AC161" s="1"/>
      <c r="AD161" s="1"/>
      <c r="AE161" s="1"/>
      <c r="AF161" s="1"/>
      <c r="AG161" s="1"/>
    </row>
    <row r="162" spans="15:33">
      <c r="O162" s="5"/>
      <c r="P162" s="4"/>
      <c r="AB162" s="1"/>
      <c r="AC162" s="1"/>
      <c r="AD162" s="1"/>
      <c r="AE162" s="1"/>
      <c r="AF162" s="1"/>
      <c r="AG162" s="1"/>
    </row>
    <row r="163" spans="15:33">
      <c r="AB163" s="1"/>
      <c r="AC163" s="1"/>
      <c r="AD163" s="1"/>
      <c r="AE163" s="1"/>
      <c r="AF163" s="1"/>
      <c r="AG163" s="1"/>
    </row>
    <row r="164" spans="15:33">
      <c r="AB164" s="1"/>
      <c r="AC164" s="1"/>
      <c r="AD164" s="1"/>
      <c r="AE164" s="1"/>
      <c r="AF164" s="1"/>
      <c r="AG164" s="1"/>
    </row>
    <row r="165" spans="15:33">
      <c r="AB165" s="1"/>
      <c r="AC165" s="1"/>
      <c r="AD165" s="1"/>
      <c r="AE165" s="1"/>
      <c r="AF165" s="1"/>
      <c r="AG165" s="1"/>
    </row>
    <row r="166" spans="15:33">
      <c r="AB166" s="1"/>
      <c r="AC166" s="1"/>
      <c r="AD166" s="1"/>
      <c r="AE166" s="1"/>
      <c r="AF166" s="1"/>
      <c r="AG166" s="1"/>
    </row>
    <row r="167" spans="15:33">
      <c r="AB167" s="1"/>
      <c r="AC167" s="1"/>
      <c r="AD167" s="1"/>
      <c r="AE167" s="1"/>
      <c r="AF167" s="1"/>
      <c r="AG167" s="1"/>
    </row>
    <row r="168" spans="15:33">
      <c r="AB168" s="1"/>
      <c r="AC168" s="1"/>
      <c r="AD168" s="1"/>
      <c r="AE168" s="1"/>
      <c r="AF168" s="1"/>
      <c r="AG168" s="1"/>
    </row>
    <row r="169" spans="15:33">
      <c r="AB169" s="1"/>
      <c r="AC169" s="1"/>
      <c r="AD169" s="1"/>
      <c r="AE169" s="1"/>
      <c r="AF169" s="1"/>
      <c r="AG169" s="1"/>
    </row>
    <row r="170" spans="15:33">
      <c r="AB170" s="1"/>
      <c r="AC170" s="1"/>
      <c r="AD170" s="1"/>
      <c r="AE170" s="1"/>
      <c r="AF170" s="1"/>
      <c r="AG170" s="1"/>
    </row>
    <row r="171" spans="15:33">
      <c r="R171" s="12"/>
      <c r="S171" s="12"/>
      <c r="V171" s="12"/>
      <c r="W171" s="12"/>
      <c r="AB171" s="1"/>
      <c r="AC171" s="1"/>
      <c r="AD171" s="1"/>
      <c r="AE171" s="1"/>
      <c r="AF171" s="1"/>
      <c r="AG171" s="1"/>
    </row>
    <row r="172" spans="15:33">
      <c r="W172" s="12"/>
      <c r="AB172" s="1"/>
      <c r="AC172" s="1"/>
      <c r="AD172" s="1"/>
      <c r="AE172" s="1"/>
      <c r="AF172" s="1"/>
      <c r="AG172" s="1"/>
    </row>
    <row r="173" spans="15:33">
      <c r="Q173" s="8"/>
      <c r="R173" s="8"/>
      <c r="S173" s="8"/>
      <c r="AB173" s="1"/>
      <c r="AC173" s="1"/>
      <c r="AD173" s="1"/>
      <c r="AE173" s="1"/>
      <c r="AF173" s="1"/>
      <c r="AG173" s="1"/>
    </row>
    <row r="174" spans="15:33">
      <c r="Q174" s="8"/>
      <c r="R174" s="8"/>
      <c r="S174" s="8"/>
      <c r="AB174" s="1"/>
      <c r="AC174" s="1"/>
      <c r="AD174" s="1"/>
      <c r="AE174" s="1"/>
      <c r="AF174" s="1"/>
      <c r="AG174" s="1"/>
    </row>
    <row r="175" spans="15:33">
      <c r="Q175" s="8"/>
      <c r="R175" s="8"/>
      <c r="S175" s="8"/>
      <c r="AB175" s="1"/>
      <c r="AC175" s="1"/>
      <c r="AD175" s="1"/>
      <c r="AE175" s="1"/>
      <c r="AF175" s="1"/>
      <c r="AG175" s="1"/>
    </row>
    <row r="176" spans="15:33">
      <c r="Q176" s="8"/>
      <c r="R176" s="8"/>
      <c r="S176" s="8"/>
      <c r="AB176" s="1"/>
      <c r="AC176" s="1"/>
      <c r="AD176" s="1"/>
      <c r="AE176" s="1"/>
      <c r="AF176" s="1"/>
      <c r="AG176" s="1"/>
    </row>
    <row r="177" spans="11:33">
      <c r="P177" s="107"/>
      <c r="T177" s="107"/>
      <c r="AB177" s="1"/>
      <c r="AC177" s="1"/>
      <c r="AD177" s="1"/>
      <c r="AE177" s="1"/>
      <c r="AF177" s="1"/>
      <c r="AG177" s="1"/>
    </row>
    <row r="178" spans="11:33">
      <c r="AB178" s="1"/>
      <c r="AC178" s="1"/>
      <c r="AD178" s="1"/>
      <c r="AE178" s="1"/>
      <c r="AF178" s="1"/>
      <c r="AG178" s="1"/>
    </row>
    <row r="179" spans="11:33"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AB179" s="1"/>
      <c r="AC179" s="1"/>
      <c r="AD179" s="1"/>
      <c r="AE179" s="1"/>
      <c r="AF179" s="1"/>
      <c r="AG179" s="1"/>
    </row>
    <row r="180" spans="11:33">
      <c r="L180" s="14"/>
      <c r="M180" s="14"/>
      <c r="N180" s="14"/>
      <c r="O180" s="12"/>
      <c r="P180" s="12"/>
      <c r="Q180" s="12"/>
      <c r="R180" s="14"/>
      <c r="S180" s="14"/>
      <c r="T180" s="12"/>
      <c r="V180" s="12"/>
      <c r="AB180" s="1"/>
      <c r="AC180" s="1"/>
      <c r="AD180" s="1"/>
      <c r="AE180" s="1"/>
      <c r="AF180" s="1"/>
      <c r="AG180" s="1"/>
    </row>
    <row r="181" spans="11:33">
      <c r="L181" s="12"/>
      <c r="M181" s="12"/>
      <c r="N181" s="12"/>
      <c r="O181" s="12"/>
      <c r="P181" s="12"/>
      <c r="Q181" s="12"/>
      <c r="R181" s="12"/>
      <c r="S181" s="12"/>
      <c r="T181" s="12"/>
      <c r="U181" s="13"/>
      <c r="V181" s="13"/>
      <c r="W181" s="12"/>
      <c r="AB181" s="1"/>
      <c r="AC181" s="1"/>
      <c r="AD181" s="1"/>
      <c r="AE181" s="1"/>
      <c r="AF181" s="1"/>
      <c r="AG181" s="1"/>
    </row>
    <row r="182" spans="11:33">
      <c r="L182" s="10"/>
      <c r="M182" s="10"/>
      <c r="N182" s="9"/>
      <c r="O182" s="6"/>
      <c r="P182" s="8"/>
      <c r="Q182" s="6"/>
      <c r="R182" s="8"/>
      <c r="S182" s="6"/>
      <c r="T182" s="8"/>
      <c r="U182" s="7"/>
      <c r="V182" s="7"/>
      <c r="W182" s="6"/>
      <c r="AB182" s="1"/>
      <c r="AC182" s="1"/>
      <c r="AD182" s="1"/>
      <c r="AE182" s="1"/>
      <c r="AF182" s="1"/>
      <c r="AG182" s="1"/>
    </row>
    <row r="183" spans="11:33">
      <c r="K183" s="11"/>
      <c r="L183" s="10"/>
      <c r="M183" s="10"/>
      <c r="N183" s="9"/>
      <c r="O183" s="6"/>
      <c r="P183" s="8"/>
      <c r="Q183" s="6"/>
      <c r="R183" s="8"/>
      <c r="S183" s="6"/>
      <c r="T183" s="8"/>
      <c r="U183" s="7"/>
      <c r="V183" s="7"/>
      <c r="W183" s="6"/>
      <c r="AB183" s="1"/>
      <c r="AC183" s="1"/>
      <c r="AD183" s="1"/>
      <c r="AE183" s="1"/>
      <c r="AF183" s="1"/>
      <c r="AG183" s="1"/>
    </row>
    <row r="184" spans="11:33">
      <c r="L184" s="10"/>
      <c r="M184" s="10"/>
      <c r="N184" s="9"/>
      <c r="O184" s="6"/>
      <c r="P184" s="8"/>
      <c r="Q184" s="6"/>
      <c r="R184" s="8"/>
      <c r="S184" s="6"/>
      <c r="T184" s="8"/>
      <c r="U184" s="7"/>
      <c r="V184" s="7"/>
      <c r="W184" s="6"/>
      <c r="AB184" s="1"/>
      <c r="AC184" s="1"/>
      <c r="AD184" s="1"/>
      <c r="AE184" s="1"/>
      <c r="AF184" s="1"/>
      <c r="AG184" s="1"/>
    </row>
    <row r="185" spans="11:33">
      <c r="L185" s="10"/>
      <c r="M185" s="10"/>
      <c r="N185" s="9"/>
      <c r="O185" s="6"/>
      <c r="P185" s="8"/>
      <c r="Q185" s="6"/>
      <c r="R185" s="8"/>
      <c r="S185" s="6"/>
      <c r="T185" s="8"/>
      <c r="U185" s="7"/>
      <c r="V185" s="7"/>
      <c r="W185" s="6"/>
      <c r="AB185" s="1"/>
      <c r="AC185" s="1"/>
      <c r="AD185" s="1"/>
      <c r="AE185" s="1"/>
      <c r="AF185" s="1"/>
      <c r="AG185" s="1"/>
    </row>
    <row r="186" spans="11:33">
      <c r="O186" s="6"/>
      <c r="P186" s="8"/>
      <c r="Q186" s="6"/>
      <c r="R186" s="69"/>
      <c r="S186" s="6"/>
      <c r="T186" s="8"/>
      <c r="U186" s="7"/>
      <c r="V186" s="7"/>
      <c r="W186" s="6"/>
      <c r="AB186" s="1"/>
      <c r="AC186" s="1"/>
      <c r="AD186" s="1"/>
      <c r="AE186" s="1"/>
      <c r="AF186" s="1"/>
      <c r="AG186" s="1"/>
    </row>
    <row r="187" spans="11:33">
      <c r="O187" s="5"/>
      <c r="P187" s="4"/>
      <c r="AB187" s="1"/>
      <c r="AC187" s="1"/>
      <c r="AD187" s="1"/>
      <c r="AE187" s="1"/>
      <c r="AF187" s="1"/>
      <c r="AG187" s="1"/>
    </row>
    <row r="188" spans="11:33">
      <c r="AB188" s="1"/>
      <c r="AC188" s="1"/>
      <c r="AD188" s="1"/>
      <c r="AE188" s="1"/>
      <c r="AF188" s="1"/>
      <c r="AG188" s="1"/>
    </row>
    <row r="189" spans="11:33">
      <c r="AB189" s="1"/>
      <c r="AC189" s="1"/>
      <c r="AD189" s="1"/>
      <c r="AE189" s="1"/>
      <c r="AF189" s="1"/>
      <c r="AG189" s="1"/>
    </row>
    <row r="190" spans="11:33">
      <c r="AB190" s="1"/>
      <c r="AC190" s="1"/>
      <c r="AD190" s="1"/>
      <c r="AE190" s="1"/>
      <c r="AF190" s="1"/>
      <c r="AG190" s="1"/>
    </row>
    <row r="191" spans="11:33">
      <c r="AB191" s="1"/>
      <c r="AC191" s="1"/>
      <c r="AD191" s="1"/>
      <c r="AE191" s="1"/>
      <c r="AF191" s="1"/>
      <c r="AG191" s="1"/>
    </row>
    <row r="192" spans="11:33">
      <c r="AB192" s="1"/>
      <c r="AC192" s="1"/>
      <c r="AD192" s="1"/>
      <c r="AE192" s="1"/>
      <c r="AF192" s="1"/>
      <c r="AG192" s="1"/>
    </row>
    <row r="193" spans="11:33">
      <c r="AB193" s="1"/>
      <c r="AC193" s="1"/>
      <c r="AD193" s="1"/>
      <c r="AE193" s="1"/>
      <c r="AF193" s="1"/>
      <c r="AG193" s="1"/>
    </row>
    <row r="194" spans="11:33">
      <c r="AB194" s="1"/>
      <c r="AC194" s="1"/>
      <c r="AD194" s="1"/>
      <c r="AE194" s="1"/>
      <c r="AF194" s="1"/>
      <c r="AG194" s="1"/>
    </row>
    <row r="195" spans="11:33">
      <c r="AB195" s="1"/>
      <c r="AC195" s="1"/>
      <c r="AD195" s="1"/>
      <c r="AE195" s="1"/>
      <c r="AF195" s="1"/>
      <c r="AG195" s="1"/>
    </row>
    <row r="196" spans="11:33">
      <c r="R196" s="12"/>
      <c r="S196" s="12"/>
      <c r="V196" s="12"/>
      <c r="W196" s="12"/>
      <c r="AB196" s="1"/>
      <c r="AC196" s="1"/>
      <c r="AD196" s="1"/>
      <c r="AE196" s="1"/>
      <c r="AF196" s="1"/>
      <c r="AG196" s="1"/>
    </row>
    <row r="197" spans="11:33">
      <c r="W197" s="12"/>
      <c r="AB197" s="1"/>
      <c r="AC197" s="1"/>
      <c r="AD197" s="1"/>
      <c r="AE197" s="1"/>
      <c r="AF197" s="1"/>
      <c r="AG197" s="1"/>
    </row>
    <row r="198" spans="11:33">
      <c r="Q198" s="8"/>
      <c r="R198" s="8"/>
      <c r="S198" s="8"/>
      <c r="AB198" s="1"/>
      <c r="AC198" s="1"/>
      <c r="AD198" s="1"/>
      <c r="AE198" s="1"/>
      <c r="AF198" s="1"/>
      <c r="AG198" s="1"/>
    </row>
    <row r="199" spans="11:33">
      <c r="Q199" s="8"/>
      <c r="R199" s="8"/>
      <c r="S199" s="8"/>
      <c r="AB199" s="1"/>
      <c r="AC199" s="1"/>
      <c r="AD199" s="1"/>
      <c r="AE199" s="1"/>
      <c r="AF199" s="1"/>
      <c r="AG199" s="1"/>
    </row>
    <row r="200" spans="11:33">
      <c r="Q200" s="8"/>
      <c r="R200" s="8"/>
      <c r="S200" s="8"/>
      <c r="AB200" s="1"/>
      <c r="AC200" s="1"/>
      <c r="AD200" s="1"/>
      <c r="AE200" s="1"/>
      <c r="AF200" s="1"/>
      <c r="AG200" s="1"/>
    </row>
    <row r="201" spans="11:33">
      <c r="Q201" s="8"/>
      <c r="R201" s="8"/>
      <c r="S201" s="8"/>
      <c r="AB201" s="1"/>
      <c r="AC201" s="1"/>
      <c r="AD201" s="1"/>
      <c r="AE201" s="1"/>
      <c r="AF201" s="1"/>
      <c r="AG201" s="1"/>
    </row>
    <row r="202" spans="11:33">
      <c r="P202" s="107"/>
      <c r="T202" s="107"/>
      <c r="AB202" s="1"/>
      <c r="AC202" s="1"/>
      <c r="AD202" s="1"/>
      <c r="AE202" s="1"/>
      <c r="AF202" s="1"/>
      <c r="AG202" s="1"/>
    </row>
    <row r="203" spans="11:33">
      <c r="AB203" s="1"/>
      <c r="AC203" s="1"/>
      <c r="AD203" s="1"/>
      <c r="AE203" s="1"/>
      <c r="AF203" s="1"/>
      <c r="AG203" s="1"/>
    </row>
    <row r="204" spans="11:33"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AB204" s="1"/>
      <c r="AC204" s="1"/>
      <c r="AD204" s="1"/>
      <c r="AE204" s="1"/>
      <c r="AF204" s="1"/>
      <c r="AG204" s="1"/>
    </row>
    <row r="205" spans="11:33">
      <c r="L205" s="14"/>
      <c r="M205" s="14"/>
      <c r="N205" s="14"/>
      <c r="O205" s="12"/>
      <c r="P205" s="12"/>
      <c r="Q205" s="12"/>
      <c r="R205" s="14"/>
      <c r="S205" s="14"/>
      <c r="T205" s="12"/>
      <c r="V205" s="12"/>
      <c r="AB205" s="1"/>
      <c r="AC205" s="1"/>
      <c r="AD205" s="1"/>
      <c r="AE205" s="1"/>
      <c r="AF205" s="1"/>
      <c r="AG205" s="1"/>
    </row>
    <row r="206" spans="11:33">
      <c r="L206" s="12"/>
      <c r="M206" s="12"/>
      <c r="N206" s="12"/>
      <c r="O206" s="12"/>
      <c r="P206" s="12"/>
      <c r="Q206" s="12"/>
      <c r="R206" s="12"/>
      <c r="S206" s="12"/>
      <c r="T206" s="12"/>
      <c r="U206" s="13"/>
      <c r="V206" s="13"/>
      <c r="W206" s="12"/>
      <c r="AB206" s="1"/>
      <c r="AC206" s="1"/>
      <c r="AD206" s="1"/>
      <c r="AE206" s="1"/>
      <c r="AF206" s="1"/>
      <c r="AG206" s="1"/>
    </row>
    <row r="207" spans="11:33">
      <c r="L207" s="10"/>
      <c r="M207" s="10"/>
      <c r="N207" s="9"/>
      <c r="O207" s="6"/>
      <c r="P207" s="8"/>
      <c r="Q207" s="6"/>
      <c r="R207" s="8"/>
      <c r="S207" s="6"/>
      <c r="T207" s="8"/>
      <c r="U207" s="7"/>
      <c r="V207" s="7"/>
      <c r="W207" s="6"/>
      <c r="AB207" s="1"/>
      <c r="AC207" s="1"/>
      <c r="AD207" s="1"/>
      <c r="AE207" s="1"/>
      <c r="AF207" s="1"/>
      <c r="AG207" s="1"/>
    </row>
    <row r="208" spans="11:33">
      <c r="K208" s="11"/>
      <c r="L208" s="10"/>
      <c r="M208" s="10"/>
      <c r="N208" s="9"/>
      <c r="O208" s="6"/>
      <c r="P208" s="8"/>
      <c r="Q208" s="6"/>
      <c r="R208" s="8"/>
      <c r="S208" s="6"/>
      <c r="T208" s="8"/>
      <c r="U208" s="7"/>
      <c r="V208" s="7"/>
      <c r="W208" s="6"/>
      <c r="AB208" s="1"/>
      <c r="AC208" s="1"/>
      <c r="AD208" s="1"/>
      <c r="AE208" s="1"/>
      <c r="AF208" s="1"/>
      <c r="AG208" s="1"/>
    </row>
    <row r="209" spans="12:33">
      <c r="L209" s="10"/>
      <c r="M209" s="10"/>
      <c r="N209" s="9"/>
      <c r="O209" s="6"/>
      <c r="P209" s="8"/>
      <c r="Q209" s="6"/>
      <c r="R209" s="8"/>
      <c r="S209" s="6"/>
      <c r="T209" s="8"/>
      <c r="U209" s="7"/>
      <c r="V209" s="7"/>
      <c r="W209" s="6"/>
      <c r="AB209" s="1"/>
      <c r="AC209" s="1"/>
      <c r="AD209" s="1"/>
      <c r="AE209" s="1"/>
      <c r="AF209" s="1"/>
      <c r="AG209" s="1"/>
    </row>
    <row r="210" spans="12:33">
      <c r="L210" s="10"/>
      <c r="M210" s="10"/>
      <c r="N210" s="9"/>
      <c r="O210" s="6"/>
      <c r="P210" s="8"/>
      <c r="Q210" s="6"/>
      <c r="R210" s="8"/>
      <c r="S210" s="6"/>
      <c r="T210" s="8"/>
      <c r="U210" s="7"/>
      <c r="V210" s="7"/>
      <c r="W210" s="6"/>
      <c r="AB210" s="1"/>
      <c r="AC210" s="1"/>
      <c r="AD210" s="1"/>
      <c r="AE210" s="1"/>
      <c r="AF210" s="1"/>
      <c r="AG210" s="1"/>
    </row>
    <row r="211" spans="12:33">
      <c r="O211" s="6"/>
      <c r="P211" s="8"/>
      <c r="Q211" s="6"/>
      <c r="R211" s="69"/>
      <c r="S211" s="6"/>
      <c r="T211" s="8"/>
      <c r="U211" s="7"/>
      <c r="V211" s="7"/>
      <c r="W211" s="6"/>
      <c r="AB211" s="1"/>
      <c r="AC211" s="1"/>
      <c r="AD211" s="1"/>
      <c r="AE211" s="1"/>
      <c r="AF211" s="1"/>
      <c r="AG211" s="1"/>
    </row>
    <row r="212" spans="12:33">
      <c r="O212" s="5"/>
      <c r="P212" s="4"/>
      <c r="AB212" s="1"/>
      <c r="AC212" s="1"/>
      <c r="AD212" s="1"/>
      <c r="AE212" s="1"/>
      <c r="AF212" s="1"/>
      <c r="AG212" s="1"/>
    </row>
    <row r="213" spans="12:33">
      <c r="AB213" s="1"/>
      <c r="AC213" s="1"/>
      <c r="AD213" s="1"/>
      <c r="AE213" s="1"/>
      <c r="AF213" s="1"/>
      <c r="AG213" s="1"/>
    </row>
    <row r="214" spans="12:33">
      <c r="AB214" s="1"/>
      <c r="AC214" s="1"/>
      <c r="AD214" s="1"/>
      <c r="AE214" s="1"/>
      <c r="AF214" s="1"/>
      <c r="AG214" s="1"/>
    </row>
    <row r="215" spans="12:33">
      <c r="AB215" s="1"/>
      <c r="AC215" s="1"/>
      <c r="AD215" s="1"/>
      <c r="AE215" s="1"/>
      <c r="AF215" s="1"/>
      <c r="AG215" s="1"/>
    </row>
    <row r="216" spans="12:33">
      <c r="AB216" s="1"/>
      <c r="AC216" s="1"/>
      <c r="AD216" s="1"/>
      <c r="AE216" s="1"/>
      <c r="AF216" s="1"/>
      <c r="AG216" s="1"/>
    </row>
    <row r="217" spans="12:33">
      <c r="AB217" s="1"/>
      <c r="AC217" s="1"/>
      <c r="AD217" s="1"/>
      <c r="AE217" s="1"/>
      <c r="AF217" s="1"/>
      <c r="AG217" s="1"/>
    </row>
    <row r="218" spans="12:33">
      <c r="AB218" s="1"/>
      <c r="AC218" s="1"/>
      <c r="AD218" s="1"/>
      <c r="AE218" s="1"/>
      <c r="AF218" s="1"/>
      <c r="AG218" s="1"/>
    </row>
    <row r="219" spans="12:33">
      <c r="AB219" s="1"/>
      <c r="AC219" s="1"/>
      <c r="AD219" s="1"/>
      <c r="AE219" s="1"/>
      <c r="AF219" s="1"/>
      <c r="AG219" s="1"/>
    </row>
    <row r="220" spans="12:33">
      <c r="AB220" s="1"/>
      <c r="AC220" s="1"/>
      <c r="AD220" s="1"/>
      <c r="AE220" s="1"/>
      <c r="AF220" s="1"/>
      <c r="AG220" s="1"/>
    </row>
    <row r="221" spans="12:33">
      <c r="R221" s="12"/>
      <c r="S221" s="12"/>
      <c r="V221" s="12"/>
      <c r="W221" s="12"/>
      <c r="AB221" s="1"/>
      <c r="AC221" s="1"/>
      <c r="AD221" s="1"/>
      <c r="AE221" s="1"/>
      <c r="AF221" s="1"/>
      <c r="AG221" s="1"/>
    </row>
    <row r="222" spans="12:33">
      <c r="W222" s="12"/>
      <c r="AB222" s="1"/>
      <c r="AC222" s="1"/>
      <c r="AD222" s="1"/>
      <c r="AE222" s="1"/>
      <c r="AF222" s="1"/>
      <c r="AG222" s="1"/>
    </row>
    <row r="223" spans="12:33">
      <c r="Q223" s="8"/>
      <c r="R223" s="8"/>
      <c r="S223" s="8"/>
      <c r="AB223" s="1"/>
      <c r="AC223" s="1"/>
      <c r="AD223" s="1"/>
      <c r="AE223" s="1"/>
      <c r="AF223" s="1"/>
      <c r="AG223" s="1"/>
    </row>
    <row r="224" spans="12:33">
      <c r="Q224" s="8"/>
      <c r="R224" s="8"/>
      <c r="S224" s="8"/>
      <c r="AB224" s="1"/>
      <c r="AC224" s="1"/>
      <c r="AD224" s="1"/>
      <c r="AE224" s="1"/>
      <c r="AF224" s="1"/>
      <c r="AG224" s="1"/>
    </row>
    <row r="225" spans="11:33">
      <c r="Q225" s="8"/>
      <c r="R225" s="8"/>
      <c r="S225" s="8"/>
      <c r="AB225" s="1"/>
      <c r="AC225" s="1"/>
      <c r="AD225" s="1"/>
      <c r="AE225" s="1"/>
      <c r="AF225" s="1"/>
      <c r="AG225" s="1"/>
    </row>
    <row r="226" spans="11:33">
      <c r="Q226" s="8"/>
      <c r="R226" s="8"/>
      <c r="S226" s="8"/>
      <c r="AB226" s="1"/>
      <c r="AC226" s="1"/>
      <c r="AD226" s="1"/>
      <c r="AE226" s="1"/>
      <c r="AF226" s="1"/>
      <c r="AG226" s="1"/>
    </row>
    <row r="227" spans="11:33">
      <c r="P227" s="107"/>
      <c r="T227" s="107"/>
      <c r="AB227" s="1"/>
      <c r="AC227" s="1"/>
      <c r="AD227" s="1"/>
      <c r="AE227" s="1"/>
      <c r="AF227" s="1"/>
      <c r="AG227" s="1"/>
    </row>
    <row r="228" spans="11:33">
      <c r="AB228" s="1"/>
      <c r="AC228" s="1"/>
      <c r="AD228" s="1"/>
      <c r="AE228" s="1"/>
      <c r="AF228" s="1"/>
      <c r="AG228" s="1"/>
    </row>
    <row r="229" spans="11:33"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AB229" s="1"/>
      <c r="AC229" s="1"/>
      <c r="AD229" s="1"/>
      <c r="AE229" s="1"/>
      <c r="AF229" s="1"/>
      <c r="AG229" s="1"/>
    </row>
    <row r="230" spans="11:33">
      <c r="L230" s="14"/>
      <c r="M230" s="14"/>
      <c r="N230" s="14"/>
      <c r="O230" s="12"/>
      <c r="P230" s="12"/>
      <c r="Q230" s="12"/>
      <c r="R230" s="14"/>
      <c r="S230" s="14"/>
      <c r="T230" s="12"/>
      <c r="V230" s="12"/>
      <c r="AB230" s="1"/>
      <c r="AC230" s="1"/>
      <c r="AD230" s="1"/>
      <c r="AE230" s="1"/>
      <c r="AF230" s="1"/>
      <c r="AG230" s="1"/>
    </row>
    <row r="231" spans="11:33">
      <c r="L231" s="12"/>
      <c r="M231" s="12"/>
      <c r="N231" s="12"/>
      <c r="O231" s="12"/>
      <c r="P231" s="12"/>
      <c r="Q231" s="12"/>
      <c r="R231" s="12"/>
      <c r="S231" s="12"/>
      <c r="T231" s="12"/>
      <c r="U231" s="13"/>
      <c r="V231" s="13"/>
      <c r="W231" s="12"/>
      <c r="AB231" s="1"/>
      <c r="AC231" s="1"/>
      <c r="AD231" s="1"/>
      <c r="AE231" s="1"/>
      <c r="AF231" s="1"/>
      <c r="AG231" s="1"/>
    </row>
    <row r="232" spans="11:33">
      <c r="L232" s="10"/>
      <c r="M232" s="10"/>
      <c r="N232" s="9"/>
      <c r="O232" s="6"/>
      <c r="P232" s="8"/>
      <c r="Q232" s="6"/>
      <c r="R232" s="8"/>
      <c r="S232" s="6"/>
      <c r="T232" s="8"/>
      <c r="U232" s="7"/>
      <c r="V232" s="7"/>
      <c r="W232" s="6"/>
      <c r="AB232" s="1"/>
      <c r="AC232" s="1"/>
      <c r="AD232" s="1"/>
      <c r="AE232" s="1"/>
      <c r="AF232" s="1"/>
      <c r="AG232" s="1"/>
    </row>
    <row r="233" spans="11:33">
      <c r="K233" s="11"/>
      <c r="L233" s="10"/>
      <c r="M233" s="10"/>
      <c r="N233" s="9"/>
      <c r="O233" s="6"/>
      <c r="P233" s="8"/>
      <c r="Q233" s="6"/>
      <c r="R233" s="8"/>
      <c r="S233" s="6"/>
      <c r="T233" s="8"/>
      <c r="U233" s="7"/>
      <c r="V233" s="7"/>
      <c r="W233" s="6"/>
      <c r="AB233" s="1"/>
      <c r="AC233" s="1"/>
      <c r="AD233" s="1"/>
      <c r="AE233" s="1"/>
      <c r="AF233" s="1"/>
      <c r="AG233" s="1"/>
    </row>
    <row r="234" spans="11:33">
      <c r="L234" s="10"/>
      <c r="M234" s="10"/>
      <c r="N234" s="9"/>
      <c r="O234" s="6"/>
      <c r="P234" s="8"/>
      <c r="Q234" s="6"/>
      <c r="R234" s="8"/>
      <c r="S234" s="6"/>
      <c r="T234" s="8"/>
      <c r="U234" s="7"/>
      <c r="V234" s="7"/>
      <c r="W234" s="6"/>
      <c r="AB234" s="1"/>
      <c r="AC234" s="1"/>
      <c r="AD234" s="1"/>
      <c r="AE234" s="1"/>
      <c r="AF234" s="1"/>
      <c r="AG234" s="1"/>
    </row>
    <row r="235" spans="11:33">
      <c r="L235" s="10"/>
      <c r="M235" s="10"/>
      <c r="N235" s="9"/>
      <c r="O235" s="6"/>
      <c r="P235" s="8"/>
      <c r="Q235" s="6"/>
      <c r="R235" s="8"/>
      <c r="S235" s="6"/>
      <c r="T235" s="8"/>
      <c r="U235" s="7"/>
      <c r="V235" s="7"/>
      <c r="W235" s="6"/>
      <c r="AB235" s="1"/>
      <c r="AC235" s="1"/>
      <c r="AD235" s="1"/>
      <c r="AE235" s="1"/>
      <c r="AF235" s="1"/>
      <c r="AG235" s="1"/>
    </row>
    <row r="236" spans="11:33">
      <c r="O236" s="6"/>
      <c r="P236" s="8"/>
      <c r="Q236" s="6"/>
      <c r="R236" s="69"/>
      <c r="S236" s="6"/>
      <c r="T236" s="8"/>
      <c r="U236" s="7"/>
      <c r="V236" s="7"/>
      <c r="W236" s="6"/>
      <c r="AB236" s="1"/>
      <c r="AC236" s="1"/>
      <c r="AD236" s="1"/>
      <c r="AE236" s="1"/>
      <c r="AF236" s="1"/>
      <c r="AG236" s="1"/>
    </row>
    <row r="237" spans="11:33">
      <c r="O237" s="5"/>
      <c r="P237" s="4"/>
      <c r="AB237" s="1"/>
      <c r="AC237" s="1"/>
      <c r="AD237" s="1"/>
      <c r="AE237" s="1"/>
      <c r="AF237" s="1"/>
      <c r="AG237" s="1"/>
    </row>
    <row r="238" spans="11:33">
      <c r="AB238" s="1"/>
      <c r="AC238" s="1"/>
      <c r="AD238" s="1"/>
      <c r="AE238" s="1"/>
      <c r="AF238" s="1"/>
      <c r="AG238" s="1"/>
    </row>
    <row r="239" spans="11:33">
      <c r="AB239" s="1"/>
      <c r="AC239" s="1"/>
      <c r="AD239" s="1"/>
      <c r="AE239" s="1"/>
      <c r="AF239" s="1"/>
      <c r="AG239" s="1"/>
    </row>
    <row r="240" spans="11:33">
      <c r="AB240" s="1"/>
      <c r="AC240" s="1"/>
      <c r="AD240" s="1"/>
      <c r="AE240" s="1"/>
      <c r="AF240" s="1"/>
      <c r="AG240" s="1"/>
    </row>
    <row r="241" spans="12:33">
      <c r="AB241" s="1"/>
      <c r="AC241" s="1"/>
      <c r="AD241" s="1"/>
      <c r="AE241" s="1"/>
      <c r="AF241" s="1"/>
      <c r="AG241" s="1"/>
    </row>
    <row r="242" spans="12:33">
      <c r="AB242" s="1"/>
      <c r="AC242" s="1"/>
      <c r="AD242" s="1"/>
      <c r="AE242" s="1"/>
      <c r="AF242" s="1"/>
      <c r="AG242" s="1"/>
    </row>
    <row r="243" spans="12:33">
      <c r="AB243" s="1"/>
      <c r="AC243" s="1"/>
      <c r="AD243" s="1"/>
      <c r="AE243" s="1"/>
      <c r="AF243" s="1"/>
      <c r="AG243" s="1"/>
    </row>
    <row r="244" spans="12:33">
      <c r="AB244" s="1"/>
      <c r="AC244" s="1"/>
      <c r="AD244" s="1"/>
      <c r="AE244" s="1"/>
      <c r="AF244" s="1"/>
      <c r="AG244" s="1"/>
    </row>
    <row r="245" spans="12:33">
      <c r="AB245" s="1"/>
      <c r="AC245" s="1"/>
      <c r="AD245" s="1"/>
      <c r="AE245" s="1"/>
      <c r="AF245" s="1"/>
      <c r="AG245" s="1"/>
    </row>
    <row r="246" spans="12:33">
      <c r="R246" s="12"/>
      <c r="S246" s="12"/>
      <c r="V246" s="12"/>
      <c r="W246" s="12"/>
      <c r="AB246" s="1"/>
      <c r="AC246" s="1"/>
      <c r="AD246" s="1"/>
      <c r="AE246" s="1"/>
      <c r="AF246" s="1"/>
      <c r="AG246" s="1"/>
    </row>
    <row r="247" spans="12:33">
      <c r="W247" s="12"/>
      <c r="AB247" s="1"/>
      <c r="AC247" s="1"/>
      <c r="AD247" s="1"/>
      <c r="AE247" s="1"/>
      <c r="AF247" s="1"/>
      <c r="AG247" s="1"/>
    </row>
    <row r="248" spans="12:33">
      <c r="Q248" s="8"/>
      <c r="R248" s="8"/>
      <c r="S248" s="8"/>
      <c r="AB248" s="1"/>
      <c r="AC248" s="1"/>
      <c r="AD248" s="1"/>
      <c r="AE248" s="1"/>
      <c r="AF248" s="1"/>
      <c r="AG248" s="1"/>
    </row>
    <row r="249" spans="12:33">
      <c r="Q249" s="8"/>
      <c r="R249" s="8"/>
      <c r="S249" s="8"/>
      <c r="AB249" s="1"/>
      <c r="AC249" s="1"/>
      <c r="AD249" s="1"/>
      <c r="AE249" s="1"/>
      <c r="AF249" s="1"/>
      <c r="AG249" s="1"/>
    </row>
    <row r="250" spans="12:33">
      <c r="Q250" s="8"/>
      <c r="R250" s="8"/>
      <c r="S250" s="8"/>
      <c r="AB250" s="1"/>
      <c r="AC250" s="1"/>
      <c r="AD250" s="1"/>
      <c r="AE250" s="1"/>
      <c r="AF250" s="1"/>
      <c r="AG250" s="1"/>
    </row>
    <row r="251" spans="12:33">
      <c r="Q251" s="8"/>
      <c r="R251" s="8"/>
      <c r="S251" s="8"/>
      <c r="AB251" s="1"/>
      <c r="AC251" s="1"/>
      <c r="AD251" s="1"/>
      <c r="AE251" s="1"/>
      <c r="AF251" s="1"/>
      <c r="AG251" s="1"/>
    </row>
    <row r="252" spans="12:33">
      <c r="P252" s="107"/>
      <c r="T252" s="107"/>
      <c r="AB252" s="1"/>
      <c r="AC252" s="1"/>
      <c r="AD252" s="1"/>
      <c r="AE252" s="1"/>
      <c r="AF252" s="1"/>
      <c r="AG252" s="1"/>
    </row>
    <row r="253" spans="12:33">
      <c r="AB253" s="1"/>
      <c r="AC253" s="1"/>
      <c r="AD253" s="1"/>
      <c r="AE253" s="1"/>
      <c r="AF253" s="1"/>
      <c r="AG253" s="1"/>
    </row>
    <row r="254" spans="12:33"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AB254" s="1"/>
      <c r="AC254" s="1"/>
      <c r="AD254" s="1"/>
      <c r="AE254" s="1"/>
      <c r="AF254" s="1"/>
      <c r="AG254" s="1"/>
    </row>
    <row r="255" spans="12:33">
      <c r="L255" s="14"/>
      <c r="M255" s="14"/>
      <c r="N255" s="14"/>
      <c r="O255" s="12"/>
      <c r="P255" s="12"/>
      <c r="Q255" s="12"/>
      <c r="R255" s="14"/>
      <c r="S255" s="14"/>
      <c r="T255" s="12"/>
      <c r="V255" s="12"/>
      <c r="AB255" s="1"/>
      <c r="AC255" s="1"/>
      <c r="AD255" s="1"/>
      <c r="AE255" s="1"/>
      <c r="AF255" s="1"/>
      <c r="AG255" s="1"/>
    </row>
    <row r="256" spans="12:33">
      <c r="L256" s="12"/>
      <c r="M256" s="12"/>
      <c r="N256" s="12"/>
      <c r="O256" s="12"/>
      <c r="P256" s="12"/>
      <c r="Q256" s="12"/>
      <c r="R256" s="12"/>
      <c r="S256" s="12"/>
      <c r="T256" s="12"/>
      <c r="U256" s="13"/>
      <c r="V256" s="13"/>
      <c r="W256" s="12"/>
      <c r="AB256" s="1"/>
      <c r="AC256" s="1"/>
      <c r="AD256" s="1"/>
      <c r="AE256" s="1"/>
      <c r="AF256" s="1"/>
      <c r="AG256" s="1"/>
    </row>
    <row r="257" spans="11:33">
      <c r="L257" s="10"/>
      <c r="M257" s="10"/>
      <c r="N257" s="9"/>
      <c r="O257" s="6"/>
      <c r="P257" s="8"/>
      <c r="Q257" s="6"/>
      <c r="R257" s="8"/>
      <c r="S257" s="6"/>
      <c r="T257" s="8"/>
      <c r="U257" s="7"/>
      <c r="V257" s="7"/>
      <c r="W257" s="6"/>
      <c r="AB257" s="1"/>
      <c r="AC257" s="1"/>
      <c r="AD257" s="1"/>
      <c r="AE257" s="1"/>
      <c r="AF257" s="1"/>
      <c r="AG257" s="1"/>
    </row>
    <row r="258" spans="11:33">
      <c r="K258" s="11"/>
      <c r="L258" s="10"/>
      <c r="M258" s="10"/>
      <c r="N258" s="9"/>
      <c r="O258" s="6"/>
      <c r="P258" s="8"/>
      <c r="Q258" s="6"/>
      <c r="R258" s="8"/>
      <c r="S258" s="6"/>
      <c r="T258" s="8"/>
      <c r="U258" s="7"/>
      <c r="V258" s="7"/>
      <c r="W258" s="6"/>
      <c r="AB258" s="1"/>
      <c r="AC258" s="1"/>
      <c r="AD258" s="1"/>
      <c r="AE258" s="1"/>
      <c r="AF258" s="1"/>
      <c r="AG258" s="1"/>
    </row>
    <row r="259" spans="11:33">
      <c r="L259" s="10"/>
      <c r="M259" s="10"/>
      <c r="N259" s="9"/>
      <c r="O259" s="6"/>
      <c r="P259" s="8"/>
      <c r="Q259" s="6"/>
      <c r="R259" s="8"/>
      <c r="S259" s="6"/>
      <c r="T259" s="8"/>
      <c r="U259" s="7"/>
      <c r="V259" s="7"/>
      <c r="W259" s="6"/>
      <c r="AB259" s="1"/>
      <c r="AC259" s="1"/>
      <c r="AD259" s="1"/>
      <c r="AE259" s="1"/>
      <c r="AF259" s="1"/>
      <c r="AG259" s="1"/>
    </row>
    <row r="260" spans="11:33">
      <c r="L260" s="10"/>
      <c r="M260" s="10"/>
      <c r="N260" s="9"/>
      <c r="O260" s="6"/>
      <c r="P260" s="8"/>
      <c r="Q260" s="6"/>
      <c r="R260" s="8"/>
      <c r="S260" s="6"/>
      <c r="T260" s="8"/>
      <c r="U260" s="7"/>
      <c r="V260" s="7"/>
      <c r="W260" s="6"/>
      <c r="AB260" s="1"/>
      <c r="AC260" s="1"/>
      <c r="AD260" s="1"/>
      <c r="AE260" s="1"/>
      <c r="AF260" s="1"/>
      <c r="AG260" s="1"/>
    </row>
    <row r="261" spans="11:33">
      <c r="O261" s="6"/>
      <c r="P261" s="8"/>
      <c r="Q261" s="6"/>
      <c r="R261" s="69"/>
      <c r="S261" s="6"/>
      <c r="T261" s="8"/>
      <c r="U261" s="7"/>
      <c r="V261" s="7"/>
      <c r="W261" s="6"/>
      <c r="AB261" s="1"/>
      <c r="AC261" s="1"/>
      <c r="AD261" s="1"/>
      <c r="AE261" s="1"/>
      <c r="AF261" s="1"/>
      <c r="AG261" s="1"/>
    </row>
    <row r="262" spans="11:33">
      <c r="O262" s="5"/>
      <c r="P262" s="4"/>
      <c r="AB262" s="1"/>
      <c r="AC262" s="1"/>
      <c r="AD262" s="1"/>
      <c r="AE262" s="1"/>
      <c r="AF262" s="1"/>
      <c r="AG262" s="1"/>
    </row>
    <row r="263" spans="11:33">
      <c r="AB263" s="1"/>
      <c r="AC263" s="1"/>
      <c r="AD263" s="1"/>
      <c r="AE263" s="1"/>
      <c r="AF263" s="1"/>
      <c r="AG263" s="1"/>
    </row>
    <row r="264" spans="11:33">
      <c r="AB264" s="1"/>
      <c r="AC264" s="1"/>
      <c r="AD264" s="1"/>
      <c r="AE264" s="1"/>
      <c r="AF264" s="1"/>
      <c r="AG264" s="1"/>
    </row>
    <row r="265" spans="11:33">
      <c r="AB265" s="1"/>
      <c r="AC265" s="1"/>
      <c r="AD265" s="1"/>
      <c r="AE265" s="1"/>
      <c r="AF265" s="1"/>
      <c r="AG265" s="1"/>
    </row>
    <row r="266" spans="11:33">
      <c r="AB266" s="1"/>
      <c r="AC266" s="1"/>
      <c r="AD266" s="1"/>
      <c r="AE266" s="1"/>
      <c r="AF266" s="1"/>
      <c r="AG266" s="1"/>
    </row>
    <row r="267" spans="11:33">
      <c r="AB267" s="1"/>
      <c r="AC267" s="1"/>
      <c r="AD267" s="1"/>
      <c r="AE267" s="1"/>
      <c r="AF267" s="1"/>
      <c r="AG267" s="1"/>
    </row>
    <row r="268" spans="11:33">
      <c r="AB268" s="1"/>
      <c r="AC268" s="1"/>
      <c r="AD268" s="1"/>
      <c r="AE268" s="1"/>
      <c r="AF268" s="1"/>
      <c r="AG268" s="1"/>
    </row>
    <row r="269" spans="11:33">
      <c r="AB269" s="1"/>
      <c r="AC269" s="1"/>
      <c r="AD269" s="1"/>
      <c r="AE269" s="1"/>
      <c r="AF269" s="1"/>
      <c r="AG269" s="1"/>
    </row>
    <row r="270" spans="11:33">
      <c r="AB270" s="1"/>
      <c r="AC270" s="1"/>
      <c r="AD270" s="1"/>
      <c r="AE270" s="1"/>
      <c r="AF270" s="1"/>
      <c r="AG270" s="1"/>
    </row>
    <row r="271" spans="11:33">
      <c r="R271" s="12"/>
      <c r="S271" s="12"/>
      <c r="V271" s="12"/>
      <c r="W271" s="12"/>
      <c r="AB271" s="1"/>
      <c r="AC271" s="1"/>
      <c r="AD271" s="1"/>
      <c r="AE271" s="1"/>
      <c r="AF271" s="1"/>
      <c r="AG271" s="1"/>
    </row>
    <row r="272" spans="11:33">
      <c r="W272" s="12"/>
      <c r="AB272" s="1"/>
      <c r="AC272" s="1"/>
      <c r="AD272" s="1"/>
      <c r="AE272" s="1"/>
      <c r="AF272" s="1"/>
      <c r="AG272" s="1"/>
    </row>
    <row r="273" spans="11:33">
      <c r="Q273" s="8"/>
      <c r="R273" s="8"/>
      <c r="S273" s="8"/>
      <c r="AB273" s="1"/>
      <c r="AC273" s="1"/>
      <c r="AD273" s="1"/>
      <c r="AE273" s="1"/>
      <c r="AF273" s="1"/>
      <c r="AG273" s="1"/>
    </row>
    <row r="274" spans="11:33">
      <c r="Q274" s="8"/>
      <c r="R274" s="8"/>
      <c r="S274" s="8"/>
      <c r="AB274" s="1"/>
      <c r="AC274" s="1"/>
      <c r="AD274" s="1"/>
      <c r="AE274" s="1"/>
      <c r="AF274" s="1"/>
      <c r="AG274" s="1"/>
    </row>
    <row r="275" spans="11:33">
      <c r="Q275" s="8"/>
      <c r="R275" s="8"/>
      <c r="S275" s="8"/>
      <c r="AB275" s="1"/>
      <c r="AC275" s="1"/>
      <c r="AD275" s="1"/>
      <c r="AE275" s="1"/>
      <c r="AF275" s="1"/>
      <c r="AG275" s="1"/>
    </row>
    <row r="276" spans="11:33">
      <c r="Q276" s="8"/>
      <c r="R276" s="8"/>
      <c r="S276" s="8"/>
      <c r="AB276" s="1"/>
      <c r="AC276" s="1"/>
      <c r="AD276" s="1"/>
      <c r="AE276" s="1"/>
      <c r="AF276" s="1"/>
      <c r="AG276" s="1"/>
    </row>
    <row r="277" spans="11:33">
      <c r="P277" s="107"/>
      <c r="T277" s="107"/>
      <c r="AB277" s="1"/>
      <c r="AC277" s="1"/>
      <c r="AD277" s="1"/>
      <c r="AE277" s="1"/>
      <c r="AF277" s="1"/>
      <c r="AG277" s="1"/>
    </row>
    <row r="278" spans="11:33">
      <c r="AB278" s="1"/>
      <c r="AC278" s="1"/>
      <c r="AD278" s="1"/>
      <c r="AE278" s="1"/>
      <c r="AF278" s="1"/>
      <c r="AG278" s="1"/>
    </row>
    <row r="279" spans="11:33"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AB279" s="1"/>
      <c r="AC279" s="1"/>
      <c r="AD279" s="1"/>
      <c r="AE279" s="1"/>
      <c r="AF279" s="1"/>
      <c r="AG279" s="1"/>
    </row>
    <row r="280" spans="11:33">
      <c r="L280" s="14"/>
      <c r="M280" s="14"/>
      <c r="N280" s="14"/>
      <c r="O280" s="12"/>
      <c r="P280" s="12"/>
      <c r="Q280" s="12"/>
      <c r="R280" s="14"/>
      <c r="S280" s="14"/>
      <c r="T280" s="12"/>
      <c r="V280" s="12"/>
      <c r="AB280" s="1"/>
      <c r="AC280" s="1"/>
      <c r="AD280" s="1"/>
      <c r="AE280" s="1"/>
      <c r="AF280" s="1"/>
      <c r="AG280" s="1"/>
    </row>
    <row r="281" spans="11:33">
      <c r="L281" s="12"/>
      <c r="M281" s="12"/>
      <c r="N281" s="12"/>
      <c r="O281" s="12"/>
      <c r="P281" s="12"/>
      <c r="Q281" s="12"/>
      <c r="R281" s="12"/>
      <c r="S281" s="12"/>
      <c r="T281" s="12"/>
      <c r="U281" s="13"/>
      <c r="V281" s="13"/>
      <c r="W281" s="12"/>
      <c r="AB281" s="1"/>
      <c r="AC281" s="1"/>
      <c r="AD281" s="1"/>
      <c r="AE281" s="1"/>
      <c r="AF281" s="1"/>
      <c r="AG281" s="1"/>
    </row>
    <row r="282" spans="11:33">
      <c r="L282" s="10"/>
      <c r="M282" s="10"/>
      <c r="N282" s="9"/>
      <c r="O282" s="6"/>
      <c r="P282" s="8"/>
      <c r="Q282" s="6"/>
      <c r="R282" s="8"/>
      <c r="S282" s="6"/>
      <c r="T282" s="8"/>
      <c r="U282" s="7"/>
      <c r="V282" s="7"/>
      <c r="W282" s="6"/>
      <c r="AB282" s="1"/>
      <c r="AC282" s="1"/>
      <c r="AD282" s="1"/>
      <c r="AE282" s="1"/>
      <c r="AF282" s="1"/>
      <c r="AG282" s="1"/>
    </row>
    <row r="283" spans="11:33">
      <c r="K283" s="11"/>
      <c r="L283" s="10"/>
      <c r="M283" s="10"/>
      <c r="N283" s="9"/>
      <c r="O283" s="6"/>
      <c r="P283" s="8"/>
      <c r="Q283" s="6"/>
      <c r="R283" s="8"/>
      <c r="S283" s="6"/>
      <c r="T283" s="8"/>
      <c r="U283" s="7"/>
      <c r="V283" s="7"/>
      <c r="W283" s="6"/>
      <c r="AB283" s="1"/>
      <c r="AC283" s="1"/>
      <c r="AD283" s="1"/>
      <c r="AE283" s="1"/>
      <c r="AF283" s="1"/>
      <c r="AG283" s="1"/>
    </row>
    <row r="284" spans="11:33">
      <c r="L284" s="10"/>
      <c r="M284" s="10"/>
      <c r="N284" s="9"/>
      <c r="O284" s="6"/>
      <c r="P284" s="8"/>
      <c r="Q284" s="6"/>
      <c r="R284" s="8"/>
      <c r="S284" s="6"/>
      <c r="T284" s="8"/>
      <c r="U284" s="7"/>
      <c r="V284" s="7"/>
      <c r="W284" s="6"/>
      <c r="AB284" s="1"/>
      <c r="AC284" s="1"/>
      <c r="AD284" s="1"/>
      <c r="AE284" s="1"/>
      <c r="AF284" s="1"/>
      <c r="AG284" s="1"/>
    </row>
    <row r="285" spans="11:33">
      <c r="L285" s="10"/>
      <c r="M285" s="10"/>
      <c r="N285" s="9"/>
      <c r="O285" s="6"/>
      <c r="P285" s="8"/>
      <c r="Q285" s="6"/>
      <c r="R285" s="8"/>
      <c r="S285" s="6"/>
      <c r="T285" s="8"/>
      <c r="U285" s="7"/>
      <c r="V285" s="7"/>
      <c r="W285" s="6"/>
      <c r="AB285" s="1"/>
      <c r="AC285" s="1"/>
      <c r="AD285" s="1"/>
      <c r="AE285" s="1"/>
      <c r="AF285" s="1"/>
      <c r="AG285" s="1"/>
    </row>
    <row r="286" spans="11:33">
      <c r="O286" s="6"/>
      <c r="P286" s="8"/>
      <c r="Q286" s="6"/>
      <c r="R286" s="69"/>
      <c r="S286" s="6"/>
      <c r="T286" s="8"/>
      <c r="U286" s="7"/>
      <c r="V286" s="7"/>
      <c r="W286" s="6"/>
      <c r="AB286" s="1"/>
      <c r="AC286" s="1"/>
      <c r="AD286" s="1"/>
      <c r="AE286" s="1"/>
      <c r="AF286" s="1"/>
      <c r="AG286" s="1"/>
    </row>
    <row r="287" spans="11:33">
      <c r="O287" s="5"/>
      <c r="P287" s="4"/>
      <c r="AB287" s="1"/>
      <c r="AC287" s="1"/>
      <c r="AD287" s="1"/>
      <c r="AE287" s="1"/>
      <c r="AF287" s="1"/>
      <c r="AG287" s="1"/>
    </row>
    <row r="288" spans="11:33">
      <c r="AB288" s="1"/>
      <c r="AC288" s="1"/>
      <c r="AD288" s="1"/>
      <c r="AE288" s="1"/>
      <c r="AF288" s="1"/>
      <c r="AG288" s="1"/>
    </row>
    <row r="289" spans="12:33">
      <c r="AB289" s="1"/>
      <c r="AC289" s="1"/>
      <c r="AD289" s="1"/>
      <c r="AE289" s="1"/>
      <c r="AF289" s="1"/>
      <c r="AG289" s="1"/>
    </row>
    <row r="290" spans="12:33">
      <c r="AB290" s="1"/>
      <c r="AC290" s="1"/>
      <c r="AD290" s="1"/>
      <c r="AE290" s="1"/>
      <c r="AF290" s="1"/>
      <c r="AG290" s="1"/>
    </row>
    <row r="291" spans="12:33">
      <c r="AB291" s="1"/>
      <c r="AC291" s="1"/>
      <c r="AD291" s="1"/>
      <c r="AE291" s="1"/>
      <c r="AF291" s="1"/>
      <c r="AG291" s="1"/>
    </row>
    <row r="292" spans="12:33">
      <c r="AB292" s="1"/>
      <c r="AC292" s="1"/>
      <c r="AD292" s="1"/>
      <c r="AE292" s="1"/>
      <c r="AF292" s="1"/>
      <c r="AG292" s="1"/>
    </row>
    <row r="293" spans="12:33">
      <c r="AB293" s="1"/>
      <c r="AC293" s="1"/>
      <c r="AD293" s="1"/>
      <c r="AE293" s="1"/>
      <c r="AF293" s="1"/>
      <c r="AG293" s="1"/>
    </row>
    <row r="294" spans="12:33">
      <c r="AB294" s="1"/>
      <c r="AC294" s="1"/>
      <c r="AD294" s="1"/>
      <c r="AE294" s="1"/>
      <c r="AF294" s="1"/>
      <c r="AG294" s="1"/>
    </row>
    <row r="295" spans="12:33">
      <c r="AB295" s="1"/>
      <c r="AC295" s="1"/>
      <c r="AD295" s="1"/>
      <c r="AE295" s="1"/>
      <c r="AF295" s="1"/>
      <c r="AG295" s="1"/>
    </row>
    <row r="296" spans="12:33">
      <c r="R296" s="12"/>
      <c r="S296" s="12"/>
      <c r="V296" s="12"/>
      <c r="W296" s="12"/>
      <c r="AB296" s="1"/>
      <c r="AC296" s="1"/>
      <c r="AD296" s="1"/>
      <c r="AE296" s="1"/>
      <c r="AF296" s="1"/>
      <c r="AG296" s="1"/>
    </row>
    <row r="297" spans="12:33">
      <c r="W297" s="12"/>
      <c r="AB297" s="1"/>
      <c r="AC297" s="1"/>
      <c r="AD297" s="1"/>
      <c r="AE297" s="1"/>
      <c r="AF297" s="1"/>
      <c r="AG297" s="1"/>
    </row>
    <row r="298" spans="12:33">
      <c r="Q298" s="8"/>
      <c r="R298" s="8"/>
      <c r="S298" s="8"/>
      <c r="AB298" s="1"/>
      <c r="AC298" s="1"/>
      <c r="AD298" s="1"/>
      <c r="AE298" s="1"/>
      <c r="AF298" s="1"/>
      <c r="AG298" s="1"/>
    </row>
    <row r="299" spans="12:33">
      <c r="Q299" s="8"/>
      <c r="R299" s="8"/>
      <c r="S299" s="8"/>
      <c r="AB299" s="1"/>
      <c r="AC299" s="1"/>
      <c r="AD299" s="1"/>
      <c r="AE299" s="1"/>
      <c r="AF299" s="1"/>
      <c r="AG299" s="1"/>
    </row>
    <row r="300" spans="12:33">
      <c r="Q300" s="8"/>
      <c r="R300" s="8"/>
      <c r="S300" s="8"/>
      <c r="AB300" s="1"/>
      <c r="AC300" s="1"/>
      <c r="AD300" s="1"/>
      <c r="AE300" s="1"/>
      <c r="AF300" s="1"/>
      <c r="AG300" s="1"/>
    </row>
    <row r="301" spans="12:33">
      <c r="Q301" s="8"/>
      <c r="R301" s="8"/>
      <c r="S301" s="8"/>
      <c r="AB301" s="1"/>
      <c r="AC301" s="1"/>
      <c r="AD301" s="1"/>
      <c r="AE301" s="1"/>
      <c r="AF301" s="1"/>
      <c r="AG301" s="1"/>
    </row>
    <row r="302" spans="12:33">
      <c r="P302" s="107"/>
      <c r="T302" s="107"/>
      <c r="AB302" s="1"/>
      <c r="AC302" s="1"/>
      <c r="AD302" s="1"/>
      <c r="AE302" s="1"/>
      <c r="AF302" s="1"/>
      <c r="AG302" s="1"/>
    </row>
    <row r="303" spans="12:33">
      <c r="AB303" s="1"/>
      <c r="AC303" s="1"/>
      <c r="AD303" s="1"/>
      <c r="AE303" s="1"/>
      <c r="AF303" s="1"/>
      <c r="AG303" s="1"/>
    </row>
    <row r="304" spans="12:33"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AB304" s="1"/>
      <c r="AC304" s="1"/>
      <c r="AD304" s="1"/>
      <c r="AE304" s="1"/>
      <c r="AF304" s="1"/>
      <c r="AG304" s="1"/>
    </row>
    <row r="305" spans="11:33">
      <c r="L305" s="14"/>
      <c r="M305" s="14"/>
      <c r="N305" s="14"/>
      <c r="O305" s="12"/>
      <c r="P305" s="12"/>
      <c r="Q305" s="12"/>
      <c r="R305" s="14"/>
      <c r="S305" s="14"/>
      <c r="T305" s="12"/>
      <c r="V305" s="12"/>
      <c r="AB305" s="1"/>
      <c r="AC305" s="1"/>
      <c r="AD305" s="1"/>
      <c r="AE305" s="1"/>
      <c r="AF305" s="1"/>
      <c r="AG305" s="1"/>
    </row>
    <row r="306" spans="11:33">
      <c r="L306" s="12"/>
      <c r="M306" s="12"/>
      <c r="N306" s="12"/>
      <c r="O306" s="12"/>
      <c r="P306" s="12"/>
      <c r="Q306" s="12"/>
      <c r="R306" s="12"/>
      <c r="S306" s="12"/>
      <c r="T306" s="12"/>
      <c r="U306" s="13"/>
      <c r="V306" s="13"/>
      <c r="W306" s="12"/>
      <c r="AB306" s="1"/>
      <c r="AC306" s="1"/>
      <c r="AD306" s="1"/>
      <c r="AE306" s="1"/>
      <c r="AF306" s="1"/>
      <c r="AG306" s="1"/>
    </row>
    <row r="307" spans="11:33">
      <c r="L307" s="10"/>
      <c r="M307" s="10"/>
      <c r="N307" s="9"/>
      <c r="O307" s="6"/>
      <c r="P307" s="8"/>
      <c r="Q307" s="6"/>
      <c r="R307" s="8"/>
      <c r="S307" s="6"/>
      <c r="T307" s="8"/>
      <c r="U307" s="7"/>
      <c r="V307" s="7"/>
      <c r="W307" s="6"/>
      <c r="AB307" s="1"/>
      <c r="AC307" s="1"/>
      <c r="AD307" s="1"/>
      <c r="AE307" s="1"/>
      <c r="AF307" s="1"/>
      <c r="AG307" s="1"/>
    </row>
    <row r="308" spans="11:33">
      <c r="K308" s="11"/>
      <c r="L308" s="10"/>
      <c r="M308" s="10"/>
      <c r="N308" s="9"/>
      <c r="O308" s="6"/>
      <c r="P308" s="8"/>
      <c r="Q308" s="6"/>
      <c r="R308" s="8"/>
      <c r="S308" s="6"/>
      <c r="T308" s="8"/>
      <c r="U308" s="7"/>
      <c r="V308" s="7"/>
      <c r="W308" s="6"/>
      <c r="AB308" s="1"/>
      <c r="AC308" s="1"/>
      <c r="AD308" s="1"/>
      <c r="AE308" s="1"/>
      <c r="AF308" s="1"/>
      <c r="AG308" s="1"/>
    </row>
    <row r="309" spans="11:33">
      <c r="L309" s="10"/>
      <c r="M309" s="10"/>
      <c r="N309" s="9"/>
      <c r="O309" s="6"/>
      <c r="P309" s="8"/>
      <c r="Q309" s="6"/>
      <c r="R309" s="8"/>
      <c r="S309" s="6"/>
      <c r="T309" s="8"/>
      <c r="U309" s="7"/>
      <c r="V309" s="7"/>
      <c r="W309" s="6"/>
      <c r="AB309" s="1"/>
      <c r="AC309" s="1"/>
      <c r="AD309" s="1"/>
      <c r="AE309" s="1"/>
      <c r="AF309" s="1"/>
      <c r="AG309" s="1"/>
    </row>
    <row r="310" spans="11:33">
      <c r="L310" s="10"/>
      <c r="M310" s="10"/>
      <c r="N310" s="9"/>
      <c r="O310" s="6"/>
      <c r="P310" s="8"/>
      <c r="Q310" s="6"/>
      <c r="R310" s="8"/>
      <c r="S310" s="6"/>
      <c r="T310" s="8"/>
      <c r="U310" s="7"/>
      <c r="V310" s="7"/>
      <c r="W310" s="6"/>
      <c r="AB310" s="1"/>
      <c r="AC310" s="1"/>
      <c r="AD310" s="1"/>
      <c r="AE310" s="1"/>
      <c r="AF310" s="1"/>
      <c r="AG310" s="1"/>
    </row>
    <row r="311" spans="11:33">
      <c r="O311" s="6"/>
      <c r="P311" s="8"/>
      <c r="Q311" s="6"/>
      <c r="R311" s="69"/>
      <c r="S311" s="6"/>
      <c r="T311" s="8"/>
      <c r="U311" s="7"/>
      <c r="V311" s="7"/>
      <c r="W311" s="6"/>
      <c r="AB311" s="1"/>
      <c r="AC311" s="1"/>
      <c r="AD311" s="1"/>
      <c r="AE311" s="1"/>
      <c r="AF311" s="1"/>
      <c r="AG311" s="1"/>
    </row>
    <row r="312" spans="11:33">
      <c r="O312" s="5"/>
      <c r="P312" s="4"/>
      <c r="AB312" s="1"/>
      <c r="AC312" s="1"/>
      <c r="AD312" s="1"/>
      <c r="AE312" s="1"/>
      <c r="AF312" s="1"/>
      <c r="AG312" s="1"/>
    </row>
    <row r="313" spans="11:33">
      <c r="AB313" s="1"/>
      <c r="AC313" s="1"/>
      <c r="AD313" s="1"/>
      <c r="AE313" s="1"/>
      <c r="AF313" s="1"/>
      <c r="AG313" s="1"/>
    </row>
    <row r="314" spans="11:33">
      <c r="AB314" s="1"/>
      <c r="AC314" s="1"/>
      <c r="AD314" s="1"/>
      <c r="AE314" s="1"/>
      <c r="AF314" s="1"/>
      <c r="AG314" s="1"/>
    </row>
    <row r="315" spans="11:33">
      <c r="AB315" s="1"/>
      <c r="AC315" s="1"/>
      <c r="AD315" s="1"/>
      <c r="AE315" s="1"/>
      <c r="AF315" s="1"/>
      <c r="AG315" s="1"/>
    </row>
    <row r="316" spans="11:33">
      <c r="AB316" s="1"/>
      <c r="AC316" s="1"/>
      <c r="AD316" s="1"/>
      <c r="AE316" s="1"/>
      <c r="AF316" s="1"/>
      <c r="AG316" s="1"/>
    </row>
    <row r="317" spans="11:33">
      <c r="AB317" s="1"/>
      <c r="AC317" s="1"/>
      <c r="AD317" s="1"/>
      <c r="AE317" s="1"/>
      <c r="AF317" s="1"/>
      <c r="AG317" s="1"/>
    </row>
    <row r="318" spans="11:33">
      <c r="AB318" s="1"/>
      <c r="AC318" s="1"/>
      <c r="AD318" s="1"/>
      <c r="AE318" s="1"/>
      <c r="AF318" s="1"/>
      <c r="AG318" s="1"/>
    </row>
    <row r="319" spans="11:33">
      <c r="AB319" s="1"/>
      <c r="AC319" s="1"/>
      <c r="AD319" s="1"/>
      <c r="AE319" s="1"/>
      <c r="AF319" s="1"/>
      <c r="AG319" s="1"/>
    </row>
    <row r="320" spans="11:33">
      <c r="AB320" s="1"/>
      <c r="AC320" s="1"/>
      <c r="AD320" s="1"/>
      <c r="AE320" s="1"/>
      <c r="AF320" s="1"/>
      <c r="AG320" s="1"/>
    </row>
    <row r="321" spans="11:33">
      <c r="R321" s="12"/>
      <c r="S321" s="12"/>
      <c r="V321" s="12"/>
      <c r="W321" s="12"/>
      <c r="AB321" s="1"/>
      <c r="AC321" s="1"/>
      <c r="AD321" s="1"/>
      <c r="AE321" s="1"/>
      <c r="AF321" s="1"/>
      <c r="AG321" s="1"/>
    </row>
    <row r="322" spans="11:33">
      <c r="W322" s="12"/>
      <c r="AB322" s="1"/>
      <c r="AC322" s="1"/>
      <c r="AD322" s="1"/>
      <c r="AE322" s="1"/>
      <c r="AF322" s="1"/>
      <c r="AG322" s="1"/>
    </row>
    <row r="323" spans="11:33">
      <c r="Q323" s="8"/>
      <c r="R323" s="8"/>
      <c r="S323" s="8"/>
      <c r="AB323" s="1"/>
      <c r="AC323" s="1"/>
      <c r="AD323" s="1"/>
      <c r="AE323" s="1"/>
      <c r="AF323" s="1"/>
      <c r="AG323" s="1"/>
    </row>
    <row r="324" spans="11:33">
      <c r="Q324" s="8"/>
      <c r="R324" s="8"/>
      <c r="S324" s="8"/>
      <c r="AB324" s="1"/>
      <c r="AC324" s="1"/>
      <c r="AD324" s="1"/>
      <c r="AE324" s="1"/>
      <c r="AF324" s="1"/>
      <c r="AG324" s="1"/>
    </row>
    <row r="325" spans="11:33">
      <c r="Q325" s="8"/>
      <c r="R325" s="8"/>
      <c r="S325" s="8"/>
      <c r="AB325" s="1"/>
      <c r="AC325" s="1"/>
      <c r="AD325" s="1"/>
      <c r="AE325" s="1"/>
      <c r="AF325" s="1"/>
      <c r="AG325" s="1"/>
    </row>
    <row r="326" spans="11:33">
      <c r="Q326" s="8"/>
      <c r="R326" s="8"/>
      <c r="S326" s="8"/>
      <c r="AB326" s="1"/>
      <c r="AC326" s="1"/>
      <c r="AD326" s="1"/>
      <c r="AE326" s="1"/>
      <c r="AF326" s="1"/>
      <c r="AG326" s="1"/>
    </row>
    <row r="327" spans="11:33">
      <c r="P327" s="107"/>
      <c r="T327" s="107"/>
      <c r="AB327" s="1"/>
      <c r="AC327" s="1"/>
      <c r="AD327" s="1"/>
      <c r="AE327" s="1"/>
      <c r="AF327" s="1"/>
      <c r="AG327" s="1"/>
    </row>
    <row r="328" spans="11:33">
      <c r="AB328" s="1"/>
      <c r="AC328" s="1"/>
      <c r="AD328" s="1"/>
      <c r="AE328" s="1"/>
      <c r="AF328" s="1"/>
      <c r="AG328" s="1"/>
    </row>
    <row r="329" spans="11:33"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AB329" s="1"/>
      <c r="AC329" s="1"/>
      <c r="AD329" s="1"/>
      <c r="AE329" s="1"/>
      <c r="AF329" s="1"/>
      <c r="AG329" s="1"/>
    </row>
    <row r="330" spans="11:33">
      <c r="L330" s="14"/>
      <c r="M330" s="14"/>
      <c r="N330" s="14"/>
      <c r="O330" s="12"/>
      <c r="P330" s="12"/>
      <c r="Q330" s="12"/>
      <c r="R330" s="14"/>
      <c r="S330" s="14"/>
      <c r="T330" s="12"/>
      <c r="V330" s="12"/>
      <c r="AB330" s="1"/>
      <c r="AC330" s="1"/>
      <c r="AD330" s="1"/>
      <c r="AE330" s="1"/>
      <c r="AF330" s="1"/>
      <c r="AG330" s="1"/>
    </row>
    <row r="331" spans="11:33">
      <c r="L331" s="12"/>
      <c r="M331" s="12"/>
      <c r="N331" s="12"/>
      <c r="O331" s="12"/>
      <c r="P331" s="12"/>
      <c r="Q331" s="12"/>
      <c r="R331" s="12"/>
      <c r="S331" s="12"/>
      <c r="T331" s="12"/>
      <c r="U331" s="13"/>
      <c r="V331" s="13"/>
      <c r="W331" s="12"/>
      <c r="AB331" s="1"/>
      <c r="AC331" s="1"/>
      <c r="AD331" s="1"/>
      <c r="AE331" s="1"/>
      <c r="AF331" s="1"/>
      <c r="AG331" s="1"/>
    </row>
    <row r="332" spans="11:33">
      <c r="L332" s="10"/>
      <c r="M332" s="10"/>
      <c r="N332" s="9"/>
      <c r="O332" s="6"/>
      <c r="P332" s="8"/>
      <c r="Q332" s="6"/>
      <c r="R332" s="8"/>
      <c r="S332" s="6"/>
      <c r="T332" s="8"/>
      <c r="U332" s="7"/>
      <c r="V332" s="7"/>
      <c r="W332" s="6"/>
      <c r="AB332" s="1"/>
      <c r="AC332" s="1"/>
      <c r="AD332" s="1"/>
      <c r="AE332" s="1"/>
      <c r="AF332" s="1"/>
      <c r="AG332" s="1"/>
    </row>
    <row r="333" spans="11:33">
      <c r="K333" s="11"/>
      <c r="L333" s="10"/>
      <c r="M333" s="10"/>
      <c r="N333" s="9"/>
      <c r="O333" s="6"/>
      <c r="P333" s="8"/>
      <c r="Q333" s="6"/>
      <c r="R333" s="8"/>
      <c r="S333" s="6"/>
      <c r="T333" s="8"/>
      <c r="U333" s="7"/>
      <c r="V333" s="7"/>
      <c r="W333" s="6"/>
      <c r="AB333" s="1"/>
      <c r="AC333" s="1"/>
      <c r="AD333" s="1"/>
      <c r="AE333" s="1"/>
      <c r="AF333" s="1"/>
      <c r="AG333" s="1"/>
    </row>
    <row r="334" spans="11:33">
      <c r="L334" s="10"/>
      <c r="M334" s="10"/>
      <c r="N334" s="9"/>
      <c r="O334" s="6"/>
      <c r="P334" s="8"/>
      <c r="Q334" s="6"/>
      <c r="R334" s="8"/>
      <c r="S334" s="6"/>
      <c r="T334" s="8"/>
      <c r="U334" s="7"/>
      <c r="V334" s="7"/>
      <c r="W334" s="6"/>
      <c r="AB334" s="1"/>
      <c r="AC334" s="1"/>
      <c r="AD334" s="1"/>
      <c r="AE334" s="1"/>
      <c r="AF334" s="1"/>
      <c r="AG334" s="1"/>
    </row>
    <row r="335" spans="11:33">
      <c r="L335" s="10"/>
      <c r="M335" s="10"/>
      <c r="N335" s="9"/>
      <c r="O335" s="6"/>
      <c r="P335" s="8"/>
      <c r="Q335" s="6"/>
      <c r="R335" s="8"/>
      <c r="S335" s="6"/>
      <c r="T335" s="8"/>
      <c r="U335" s="7"/>
      <c r="V335" s="7"/>
      <c r="W335" s="6"/>
      <c r="AB335" s="1"/>
      <c r="AC335" s="1"/>
      <c r="AD335" s="1"/>
      <c r="AE335" s="1"/>
      <c r="AF335" s="1"/>
      <c r="AG335" s="1"/>
    </row>
    <row r="336" spans="11:33">
      <c r="O336" s="6"/>
      <c r="P336" s="8"/>
      <c r="Q336" s="6"/>
      <c r="R336" s="69"/>
      <c r="S336" s="6"/>
      <c r="T336" s="8"/>
      <c r="U336" s="7"/>
      <c r="V336" s="7"/>
      <c r="W336" s="6"/>
      <c r="AB336" s="1"/>
      <c r="AC336" s="1"/>
      <c r="AD336" s="1"/>
      <c r="AE336" s="1"/>
      <c r="AF336" s="1"/>
      <c r="AG336" s="1"/>
    </row>
    <row r="337" spans="15:33">
      <c r="O337" s="5"/>
      <c r="P337" s="4"/>
      <c r="AB337" s="1"/>
      <c r="AC337" s="1"/>
      <c r="AD337" s="1"/>
      <c r="AE337" s="1"/>
      <c r="AF337" s="1"/>
      <c r="AG337" s="1"/>
    </row>
    <row r="338" spans="15:33">
      <c r="AB338" s="1"/>
      <c r="AC338" s="1"/>
      <c r="AD338" s="1"/>
      <c r="AE338" s="1"/>
      <c r="AF338" s="1"/>
      <c r="AG338" s="1"/>
    </row>
    <row r="339" spans="15:33">
      <c r="AB339" s="1"/>
      <c r="AC339" s="1"/>
      <c r="AD339" s="1"/>
      <c r="AE339" s="1"/>
      <c r="AF339" s="1"/>
      <c r="AG339" s="1"/>
    </row>
    <row r="340" spans="15:33">
      <c r="AB340" s="1"/>
      <c r="AC340" s="1"/>
      <c r="AD340" s="1"/>
      <c r="AE340" s="1"/>
      <c r="AF340" s="1"/>
      <c r="AG340" s="1"/>
    </row>
    <row r="341" spans="15:33">
      <c r="AB341" s="1"/>
      <c r="AC341" s="1"/>
      <c r="AD341" s="1"/>
      <c r="AE341" s="1"/>
      <c r="AF341" s="1"/>
      <c r="AG341" s="1"/>
    </row>
    <row r="342" spans="15:33">
      <c r="AB342" s="1"/>
      <c r="AC342" s="1"/>
      <c r="AD342" s="1"/>
      <c r="AE342" s="1"/>
      <c r="AF342" s="1"/>
      <c r="AG342" s="1"/>
    </row>
    <row r="343" spans="15:33">
      <c r="AB343" s="1"/>
      <c r="AC343" s="1"/>
      <c r="AD343" s="1"/>
      <c r="AE343" s="1"/>
      <c r="AF343" s="1"/>
      <c r="AG343" s="1"/>
    </row>
    <row r="344" spans="15:33">
      <c r="AB344" s="1"/>
      <c r="AC344" s="1"/>
      <c r="AD344" s="1"/>
      <c r="AE344" s="1"/>
      <c r="AF344" s="1"/>
      <c r="AG344" s="1"/>
    </row>
    <row r="345" spans="15:33">
      <c r="AB345" s="1"/>
      <c r="AC345" s="1"/>
      <c r="AD345" s="1"/>
      <c r="AE345" s="1"/>
      <c r="AF345" s="1"/>
      <c r="AG345" s="1"/>
    </row>
    <row r="346" spans="15:33">
      <c r="R346" s="12"/>
      <c r="S346" s="12"/>
      <c r="V346" s="12"/>
      <c r="W346" s="12"/>
      <c r="AB346" s="1"/>
      <c r="AC346" s="1"/>
      <c r="AD346" s="1"/>
      <c r="AE346" s="1"/>
      <c r="AF346" s="1"/>
      <c r="AG346" s="1"/>
    </row>
    <row r="347" spans="15:33">
      <c r="W347" s="12"/>
      <c r="AB347" s="1"/>
      <c r="AC347" s="1"/>
      <c r="AD347" s="1"/>
      <c r="AE347" s="1"/>
      <c r="AF347" s="1"/>
      <c r="AG347" s="1"/>
    </row>
    <row r="348" spans="15:33">
      <c r="Q348" s="8"/>
      <c r="R348" s="8"/>
      <c r="S348" s="8"/>
      <c r="AB348" s="1"/>
      <c r="AC348" s="1"/>
      <c r="AD348" s="1"/>
      <c r="AE348" s="1"/>
      <c r="AF348" s="1"/>
      <c r="AG348" s="1"/>
    </row>
    <row r="349" spans="15:33">
      <c r="Q349" s="8"/>
      <c r="R349" s="8"/>
      <c r="S349" s="8"/>
      <c r="AB349" s="1"/>
      <c r="AC349" s="1"/>
      <c r="AD349" s="1"/>
      <c r="AE349" s="1"/>
      <c r="AF349" s="1"/>
      <c r="AG349" s="1"/>
    </row>
    <row r="350" spans="15:33">
      <c r="Q350" s="8"/>
      <c r="R350" s="8"/>
      <c r="S350" s="8"/>
      <c r="AB350" s="1"/>
      <c r="AC350" s="1"/>
      <c r="AD350" s="1"/>
      <c r="AE350" s="1"/>
      <c r="AF350" s="1"/>
      <c r="AG350" s="1"/>
    </row>
    <row r="351" spans="15:33">
      <c r="Q351" s="8"/>
      <c r="R351" s="8"/>
      <c r="S351" s="8"/>
      <c r="AB351" s="1"/>
      <c r="AC351" s="1"/>
      <c r="AD351" s="1"/>
      <c r="AE351" s="1"/>
      <c r="AF351" s="1"/>
      <c r="AG351" s="1"/>
    </row>
    <row r="352" spans="15:33">
      <c r="P352" s="107"/>
      <c r="T352" s="107"/>
      <c r="AB352" s="1"/>
      <c r="AC352" s="1"/>
      <c r="AD352" s="1"/>
      <c r="AE352" s="1"/>
      <c r="AF352" s="1"/>
      <c r="AG352" s="1"/>
    </row>
    <row r="353" spans="10:33">
      <c r="J353" s="1"/>
      <c r="AB353" s="1"/>
      <c r="AC353" s="1"/>
      <c r="AD353" s="1"/>
      <c r="AE353" s="1"/>
      <c r="AF353" s="1"/>
      <c r="AG353" s="1"/>
    </row>
    <row r="354" spans="10:33">
      <c r="J354" s="1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AB354" s="1"/>
      <c r="AC354" s="1"/>
      <c r="AD354" s="1"/>
      <c r="AE354" s="1"/>
      <c r="AF354" s="1"/>
      <c r="AG354" s="1"/>
    </row>
    <row r="355" spans="10:33">
      <c r="J355" s="1"/>
      <c r="L355" s="14"/>
      <c r="M355" s="14"/>
      <c r="N355" s="14"/>
      <c r="O355" s="12"/>
      <c r="P355" s="12"/>
      <c r="Q355" s="12"/>
      <c r="R355" s="14"/>
      <c r="S355" s="14"/>
      <c r="T355" s="12"/>
      <c r="V355" s="12"/>
      <c r="AB355" s="1"/>
      <c r="AC355" s="1"/>
      <c r="AD355" s="1"/>
      <c r="AE355" s="1"/>
      <c r="AF355" s="1"/>
      <c r="AG355" s="1"/>
    </row>
    <row r="356" spans="10:33">
      <c r="J356" s="1"/>
      <c r="L356" s="12"/>
      <c r="M356" s="12"/>
      <c r="N356" s="12"/>
      <c r="O356" s="12"/>
      <c r="P356" s="12"/>
      <c r="Q356" s="12"/>
      <c r="R356" s="12"/>
      <c r="S356" s="12"/>
      <c r="T356" s="12"/>
      <c r="U356" s="13"/>
      <c r="V356" s="13"/>
      <c r="W356" s="12"/>
      <c r="AB356" s="1"/>
      <c r="AC356" s="1"/>
      <c r="AD356" s="1"/>
      <c r="AE356" s="1"/>
      <c r="AF356" s="1"/>
      <c r="AG356" s="1"/>
    </row>
    <row r="357" spans="10:33">
      <c r="J357" s="1"/>
      <c r="L357" s="10"/>
      <c r="M357" s="10"/>
      <c r="N357" s="9"/>
      <c r="O357" s="6"/>
      <c r="P357" s="8"/>
      <c r="Q357" s="6"/>
      <c r="R357" s="8"/>
      <c r="S357" s="6"/>
      <c r="T357" s="8"/>
      <c r="U357" s="7"/>
      <c r="V357" s="7"/>
      <c r="W357" s="6"/>
      <c r="AB357" s="1"/>
      <c r="AC357" s="1"/>
      <c r="AD357" s="1"/>
      <c r="AE357" s="1"/>
      <c r="AF357" s="1"/>
      <c r="AG357" s="1"/>
    </row>
    <row r="358" spans="10:33">
      <c r="J358" s="1"/>
      <c r="K358" s="11"/>
      <c r="L358" s="10"/>
      <c r="M358" s="10"/>
      <c r="N358" s="9"/>
      <c r="O358" s="6"/>
      <c r="P358" s="8"/>
      <c r="Q358" s="6"/>
      <c r="R358" s="8"/>
      <c r="S358" s="6"/>
      <c r="T358" s="8"/>
      <c r="U358" s="7"/>
      <c r="V358" s="7"/>
      <c r="W358" s="6"/>
      <c r="AB358" s="1"/>
      <c r="AC358" s="1"/>
      <c r="AD358" s="1"/>
      <c r="AE358" s="1"/>
      <c r="AF358" s="1"/>
      <c r="AG358" s="1"/>
    </row>
    <row r="359" spans="10:33">
      <c r="J359" s="1"/>
      <c r="L359" s="10"/>
      <c r="M359" s="10"/>
      <c r="N359" s="9"/>
      <c r="O359" s="6"/>
      <c r="P359" s="8"/>
      <c r="Q359" s="6"/>
      <c r="R359" s="8"/>
      <c r="S359" s="6"/>
      <c r="T359" s="8"/>
      <c r="U359" s="7"/>
      <c r="V359" s="7"/>
      <c r="W359" s="6"/>
      <c r="AB359" s="1"/>
      <c r="AC359" s="1"/>
      <c r="AD359" s="1"/>
      <c r="AE359" s="1"/>
      <c r="AF359" s="1"/>
      <c r="AG359" s="1"/>
    </row>
    <row r="360" spans="10:33">
      <c r="J360" s="1"/>
      <c r="L360" s="10"/>
      <c r="M360" s="10"/>
      <c r="N360" s="9"/>
      <c r="O360" s="6"/>
      <c r="P360" s="8"/>
      <c r="Q360" s="6"/>
      <c r="R360" s="8"/>
      <c r="S360" s="6"/>
      <c r="T360" s="8"/>
      <c r="U360" s="7"/>
      <c r="V360" s="7"/>
      <c r="W360" s="6"/>
      <c r="AB360" s="1"/>
      <c r="AC360" s="1"/>
      <c r="AD360" s="1"/>
      <c r="AE360" s="1"/>
      <c r="AF360" s="1"/>
      <c r="AG360" s="1"/>
    </row>
    <row r="361" spans="10:33">
      <c r="J361" s="1"/>
      <c r="O361" s="6"/>
      <c r="P361" s="8"/>
      <c r="Q361" s="6"/>
      <c r="R361" s="69"/>
      <c r="S361" s="6"/>
      <c r="T361" s="8"/>
      <c r="U361" s="7"/>
      <c r="V361" s="7"/>
      <c r="W361" s="6"/>
      <c r="AB361" s="1"/>
      <c r="AC361" s="1"/>
      <c r="AD361" s="1"/>
      <c r="AE361" s="1"/>
      <c r="AF361" s="1"/>
      <c r="AG361" s="1"/>
    </row>
    <row r="362" spans="10:33">
      <c r="J362" s="1"/>
      <c r="O362" s="5"/>
      <c r="P362" s="4"/>
      <c r="AB362" s="1"/>
      <c r="AC362" s="1"/>
      <c r="AD362" s="1"/>
      <c r="AE362" s="1"/>
      <c r="AF362" s="1"/>
      <c r="AG362" s="1"/>
    </row>
    <row r="363" spans="10:33">
      <c r="J363" s="1"/>
      <c r="AB363" s="1"/>
      <c r="AC363" s="1"/>
      <c r="AD363" s="1"/>
      <c r="AE363" s="1"/>
      <c r="AF363" s="1"/>
      <c r="AG363" s="1"/>
    </row>
    <row r="364" spans="10:33">
      <c r="J364" s="1"/>
      <c r="AB364" s="1"/>
      <c r="AC364" s="1"/>
      <c r="AD364" s="1"/>
      <c r="AE364" s="1"/>
      <c r="AF364" s="1"/>
      <c r="AG364" s="1"/>
    </row>
    <row r="365" spans="10:33">
      <c r="J365" s="1"/>
      <c r="AB365" s="1"/>
      <c r="AC365" s="1"/>
      <c r="AD365" s="1"/>
      <c r="AE365" s="1"/>
      <c r="AF365" s="1"/>
      <c r="AG365" s="1"/>
    </row>
    <row r="366" spans="10:33">
      <c r="J366" s="1"/>
      <c r="AB366" s="1"/>
      <c r="AC366" s="1"/>
      <c r="AD366" s="1"/>
      <c r="AE366" s="1"/>
      <c r="AF366" s="1"/>
      <c r="AG366" s="1"/>
    </row>
    <row r="367" spans="10:33">
      <c r="J367" s="1"/>
      <c r="AB367" s="1"/>
      <c r="AC367" s="1"/>
      <c r="AD367" s="1"/>
      <c r="AE367" s="1"/>
      <c r="AF367" s="1"/>
      <c r="AG367" s="1"/>
    </row>
    <row r="368" spans="10:33">
      <c r="J368" s="1"/>
      <c r="AB368" s="1"/>
      <c r="AC368" s="1"/>
      <c r="AD368" s="1"/>
      <c r="AE368" s="1"/>
      <c r="AF368" s="1"/>
      <c r="AG368" s="1"/>
    </row>
    <row r="369" spans="11:33">
      <c r="AB369" s="1"/>
      <c r="AC369" s="1"/>
      <c r="AD369" s="1"/>
      <c r="AE369" s="1"/>
      <c r="AF369" s="1"/>
      <c r="AG369" s="1"/>
    </row>
    <row r="370" spans="11:33">
      <c r="AB370" s="1"/>
      <c r="AC370" s="1"/>
      <c r="AD370" s="1"/>
      <c r="AE370" s="1"/>
      <c r="AF370" s="1"/>
      <c r="AG370" s="1"/>
    </row>
    <row r="371" spans="11:33">
      <c r="R371" s="12"/>
      <c r="S371" s="12"/>
      <c r="V371" s="12"/>
      <c r="W371" s="12"/>
      <c r="AB371" s="1"/>
      <c r="AC371" s="1"/>
      <c r="AD371" s="1"/>
      <c r="AE371" s="1"/>
      <c r="AF371" s="1"/>
      <c r="AG371" s="1"/>
    </row>
    <row r="372" spans="11:33">
      <c r="W372" s="12"/>
      <c r="AB372" s="1"/>
      <c r="AC372" s="1"/>
      <c r="AD372" s="1"/>
      <c r="AE372" s="1"/>
      <c r="AF372" s="1"/>
      <c r="AG372" s="1"/>
    </row>
    <row r="373" spans="11:33">
      <c r="Q373" s="8"/>
      <c r="R373" s="8"/>
      <c r="S373" s="8"/>
      <c r="AB373" s="1"/>
      <c r="AC373" s="1"/>
      <c r="AD373" s="1"/>
      <c r="AE373" s="1"/>
      <c r="AF373" s="1"/>
      <c r="AG373" s="1"/>
    </row>
    <row r="374" spans="11:33">
      <c r="Q374" s="8"/>
      <c r="R374" s="8"/>
      <c r="S374" s="8"/>
      <c r="AB374" s="1"/>
      <c r="AC374" s="1"/>
      <c r="AD374" s="1"/>
      <c r="AE374" s="1"/>
      <c r="AF374" s="1"/>
      <c r="AG374" s="1"/>
    </row>
    <row r="375" spans="11:33">
      <c r="Q375" s="8"/>
      <c r="R375" s="8"/>
      <c r="S375" s="8"/>
      <c r="AB375" s="1"/>
      <c r="AC375" s="1"/>
      <c r="AD375" s="1"/>
      <c r="AE375" s="1"/>
      <c r="AF375" s="1"/>
      <c r="AG375" s="1"/>
    </row>
    <row r="376" spans="11:33">
      <c r="Q376" s="8"/>
      <c r="R376" s="8"/>
      <c r="S376" s="8"/>
      <c r="AB376" s="1"/>
      <c r="AC376" s="1"/>
      <c r="AD376" s="1"/>
      <c r="AE376" s="1"/>
      <c r="AF376" s="1"/>
      <c r="AG376" s="1"/>
    </row>
    <row r="377" spans="11:33">
      <c r="P377" s="107"/>
      <c r="T377" s="107"/>
      <c r="AB377" s="1"/>
      <c r="AC377" s="1"/>
      <c r="AD377" s="1"/>
      <c r="AE377" s="1"/>
      <c r="AF377" s="1"/>
      <c r="AG377" s="1"/>
    </row>
    <row r="378" spans="11:33">
      <c r="AB378" s="1"/>
      <c r="AC378" s="1"/>
      <c r="AD378" s="1"/>
      <c r="AE378" s="1"/>
      <c r="AF378" s="1"/>
      <c r="AG378" s="1"/>
    </row>
    <row r="379" spans="11:33"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AB379" s="1"/>
      <c r="AC379" s="1"/>
      <c r="AD379" s="1"/>
      <c r="AE379" s="1"/>
      <c r="AF379" s="1"/>
      <c r="AG379" s="1"/>
    </row>
    <row r="380" spans="11:33">
      <c r="L380" s="14"/>
      <c r="M380" s="14"/>
      <c r="N380" s="14"/>
      <c r="O380" s="12"/>
      <c r="P380" s="12"/>
      <c r="Q380" s="12"/>
      <c r="R380" s="14"/>
      <c r="S380" s="14"/>
      <c r="T380" s="12"/>
      <c r="V380" s="12"/>
      <c r="AB380" s="1"/>
      <c r="AC380" s="1"/>
      <c r="AD380" s="1"/>
      <c r="AE380" s="1"/>
      <c r="AF380" s="1"/>
      <c r="AG380" s="1"/>
    </row>
    <row r="381" spans="11:33">
      <c r="L381" s="12"/>
      <c r="M381" s="12"/>
      <c r="N381" s="12"/>
      <c r="O381" s="12"/>
      <c r="P381" s="12"/>
      <c r="Q381" s="12"/>
      <c r="R381" s="12"/>
      <c r="S381" s="12"/>
      <c r="T381" s="12"/>
      <c r="U381" s="13"/>
      <c r="V381" s="13"/>
      <c r="W381" s="12"/>
      <c r="AB381" s="1"/>
      <c r="AC381" s="1"/>
      <c r="AD381" s="1"/>
      <c r="AE381" s="1"/>
      <c r="AF381" s="1"/>
      <c r="AG381" s="1"/>
    </row>
    <row r="382" spans="11:33">
      <c r="L382" s="10"/>
      <c r="M382" s="10"/>
      <c r="N382" s="9"/>
      <c r="O382" s="6"/>
      <c r="P382" s="8"/>
      <c r="Q382" s="6"/>
      <c r="R382" s="8"/>
      <c r="S382" s="6"/>
      <c r="T382" s="8"/>
      <c r="U382" s="7"/>
      <c r="V382" s="7"/>
      <c r="W382" s="6"/>
      <c r="AB382" s="1"/>
      <c r="AC382" s="1"/>
      <c r="AD382" s="1"/>
      <c r="AE382" s="1"/>
      <c r="AF382" s="1"/>
      <c r="AG382" s="1"/>
    </row>
    <row r="383" spans="11:33">
      <c r="K383" s="11"/>
      <c r="L383" s="10"/>
      <c r="M383" s="10"/>
      <c r="N383" s="9"/>
      <c r="O383" s="6"/>
      <c r="P383" s="8"/>
      <c r="Q383" s="6"/>
      <c r="R383" s="8"/>
      <c r="S383" s="6"/>
      <c r="T383" s="8"/>
      <c r="U383" s="7"/>
      <c r="V383" s="7"/>
      <c r="W383" s="6"/>
      <c r="AB383" s="1"/>
      <c r="AC383" s="1"/>
      <c r="AD383" s="1"/>
      <c r="AE383" s="1"/>
      <c r="AF383" s="1"/>
      <c r="AG383" s="1"/>
    </row>
    <row r="384" spans="11:33">
      <c r="L384" s="10"/>
      <c r="M384" s="10"/>
      <c r="N384" s="9"/>
      <c r="O384" s="6"/>
      <c r="P384" s="8"/>
      <c r="Q384" s="6"/>
      <c r="R384" s="8"/>
      <c r="S384" s="6"/>
      <c r="T384" s="8"/>
      <c r="U384" s="7"/>
      <c r="V384" s="7"/>
      <c r="W384" s="6"/>
      <c r="AB384" s="1"/>
      <c r="AC384" s="1"/>
      <c r="AD384" s="1"/>
      <c r="AE384" s="1"/>
      <c r="AF384" s="1"/>
      <c r="AG384" s="1"/>
    </row>
    <row r="385" spans="12:33">
      <c r="L385" s="10"/>
      <c r="M385" s="10"/>
      <c r="N385" s="9"/>
      <c r="O385" s="6"/>
      <c r="P385" s="8"/>
      <c r="Q385" s="6"/>
      <c r="R385" s="8"/>
      <c r="S385" s="6"/>
      <c r="T385" s="8"/>
      <c r="U385" s="7"/>
      <c r="V385" s="7"/>
      <c r="W385" s="6"/>
      <c r="AB385" s="1"/>
      <c r="AC385" s="1"/>
      <c r="AD385" s="1"/>
      <c r="AE385" s="1"/>
      <c r="AF385" s="1"/>
      <c r="AG385" s="1"/>
    </row>
    <row r="386" spans="12:33">
      <c r="O386" s="6"/>
      <c r="P386" s="8"/>
      <c r="Q386" s="6"/>
      <c r="R386" s="69"/>
      <c r="S386" s="6"/>
      <c r="T386" s="8"/>
      <c r="U386" s="7"/>
      <c r="V386" s="7"/>
      <c r="W386" s="6"/>
      <c r="AB386" s="1"/>
      <c r="AC386" s="1"/>
      <c r="AD386" s="1"/>
      <c r="AE386" s="1"/>
      <c r="AF386" s="1"/>
      <c r="AG386" s="1"/>
    </row>
    <row r="387" spans="12:33">
      <c r="O387" s="5"/>
      <c r="P387" s="4"/>
      <c r="AB387" s="1"/>
      <c r="AC387" s="1"/>
      <c r="AD387" s="1"/>
      <c r="AE387" s="1"/>
      <c r="AF387" s="1"/>
      <c r="AG387" s="1"/>
    </row>
    <row r="388" spans="12:33">
      <c r="AB388" s="1"/>
      <c r="AC388" s="1"/>
      <c r="AD388" s="1"/>
      <c r="AE388" s="1"/>
      <c r="AF388" s="1"/>
      <c r="AG388" s="1"/>
    </row>
    <row r="389" spans="12:33">
      <c r="AB389" s="1"/>
      <c r="AC389" s="1"/>
      <c r="AD389" s="1"/>
      <c r="AE389" s="1"/>
      <c r="AF389" s="1"/>
      <c r="AG389" s="1"/>
    </row>
    <row r="390" spans="12:33">
      <c r="AB390" s="1"/>
      <c r="AC390" s="1"/>
      <c r="AD390" s="1"/>
      <c r="AE390" s="1"/>
      <c r="AF390" s="1"/>
      <c r="AG390" s="1"/>
    </row>
    <row r="391" spans="12:33">
      <c r="AB391" s="1"/>
      <c r="AC391" s="1"/>
      <c r="AD391" s="1"/>
      <c r="AE391" s="1"/>
      <c r="AF391" s="1"/>
      <c r="AG391" s="1"/>
    </row>
    <row r="392" spans="12:33">
      <c r="AB392" s="1"/>
      <c r="AC392" s="1"/>
      <c r="AD392" s="1"/>
      <c r="AE392" s="1"/>
      <c r="AF392" s="1"/>
      <c r="AG392" s="1"/>
    </row>
    <row r="393" spans="12:33">
      <c r="AB393" s="1"/>
      <c r="AC393" s="1"/>
      <c r="AD393" s="1"/>
      <c r="AE393" s="1"/>
      <c r="AF393" s="1"/>
      <c r="AG393" s="1"/>
    </row>
    <row r="394" spans="12:33">
      <c r="AB394" s="1"/>
      <c r="AC394" s="1"/>
      <c r="AD394" s="1"/>
      <c r="AE394" s="1"/>
      <c r="AF394" s="1"/>
      <c r="AG394" s="1"/>
    </row>
    <row r="395" spans="12:33">
      <c r="AB395" s="1"/>
      <c r="AC395" s="1"/>
      <c r="AD395" s="1"/>
      <c r="AE395" s="1"/>
      <c r="AF395" s="1"/>
      <c r="AG395" s="1"/>
    </row>
    <row r="396" spans="12:33">
      <c r="R396" s="12"/>
      <c r="S396" s="12"/>
      <c r="V396" s="12"/>
      <c r="W396" s="12"/>
      <c r="AB396" s="1"/>
      <c r="AC396" s="1"/>
      <c r="AD396" s="1"/>
      <c r="AE396" s="1"/>
      <c r="AF396" s="1"/>
      <c r="AG396" s="1"/>
    </row>
    <row r="397" spans="12:33">
      <c r="W397" s="12"/>
      <c r="AB397" s="1"/>
      <c r="AC397" s="1"/>
      <c r="AD397" s="1"/>
      <c r="AE397" s="1"/>
      <c r="AF397" s="1"/>
      <c r="AG397" s="1"/>
    </row>
    <row r="398" spans="12:33">
      <c r="Q398" s="8"/>
      <c r="R398" s="8"/>
      <c r="S398" s="8"/>
      <c r="AB398" s="1"/>
      <c r="AC398" s="1"/>
      <c r="AD398" s="1"/>
      <c r="AE398" s="1"/>
      <c r="AF398" s="1"/>
      <c r="AG398" s="1"/>
    </row>
    <row r="399" spans="12:33">
      <c r="Q399" s="8"/>
      <c r="R399" s="8"/>
      <c r="S399" s="8"/>
      <c r="AB399" s="1"/>
      <c r="AC399" s="1"/>
      <c r="AD399" s="1"/>
      <c r="AE399" s="1"/>
      <c r="AF399" s="1"/>
      <c r="AG399" s="1"/>
    </row>
    <row r="400" spans="12:33">
      <c r="Q400" s="8"/>
      <c r="R400" s="8"/>
      <c r="S400" s="8"/>
      <c r="AB400" s="1"/>
      <c r="AC400" s="1"/>
      <c r="AD400" s="1"/>
      <c r="AE400" s="1"/>
      <c r="AF400" s="1"/>
      <c r="AG400" s="1"/>
    </row>
    <row r="401" spans="11:33">
      <c r="Q401" s="8"/>
      <c r="R401" s="8"/>
      <c r="S401" s="8"/>
      <c r="AB401" s="1"/>
      <c r="AC401" s="1"/>
      <c r="AD401" s="1"/>
      <c r="AE401" s="1"/>
      <c r="AF401" s="1"/>
      <c r="AG401" s="1"/>
    </row>
    <row r="402" spans="11:33">
      <c r="P402" s="107"/>
      <c r="T402" s="107"/>
      <c r="AB402" s="1"/>
      <c r="AC402" s="1"/>
      <c r="AD402" s="1"/>
      <c r="AE402" s="1"/>
      <c r="AF402" s="1"/>
      <c r="AG402" s="1"/>
    </row>
    <row r="403" spans="11:33">
      <c r="AB403" s="1"/>
      <c r="AC403" s="1"/>
      <c r="AD403" s="1"/>
      <c r="AE403" s="1"/>
      <c r="AF403" s="1"/>
      <c r="AG403" s="1"/>
    </row>
    <row r="404" spans="11:33"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AB404" s="1"/>
      <c r="AC404" s="1"/>
      <c r="AD404" s="1"/>
      <c r="AE404" s="1"/>
      <c r="AF404" s="1"/>
      <c r="AG404" s="1"/>
    </row>
    <row r="405" spans="11:33">
      <c r="L405" s="14"/>
      <c r="M405" s="14"/>
      <c r="N405" s="14"/>
      <c r="O405" s="12"/>
      <c r="P405" s="12"/>
      <c r="Q405" s="12"/>
      <c r="R405" s="14"/>
      <c r="S405" s="14"/>
      <c r="T405" s="12"/>
      <c r="V405" s="12"/>
      <c r="AB405" s="1"/>
      <c r="AC405" s="1"/>
      <c r="AD405" s="1"/>
      <c r="AE405" s="1"/>
      <c r="AF405" s="1"/>
      <c r="AG405" s="1"/>
    </row>
    <row r="406" spans="11:33">
      <c r="L406" s="12"/>
      <c r="M406" s="12"/>
      <c r="N406" s="12"/>
      <c r="O406" s="12"/>
      <c r="P406" s="12"/>
      <c r="Q406" s="12"/>
      <c r="R406" s="12"/>
      <c r="S406" s="12"/>
      <c r="T406" s="12"/>
      <c r="U406" s="13"/>
      <c r="V406" s="13"/>
      <c r="W406" s="12"/>
      <c r="AB406" s="1"/>
      <c r="AC406" s="1"/>
      <c r="AD406" s="1"/>
      <c r="AE406" s="1"/>
      <c r="AF406" s="1"/>
      <c r="AG406" s="1"/>
    </row>
    <row r="407" spans="11:33">
      <c r="L407" s="10"/>
      <c r="M407" s="10"/>
      <c r="N407" s="9"/>
      <c r="O407" s="6"/>
      <c r="P407" s="8"/>
      <c r="Q407" s="6"/>
      <c r="R407" s="8"/>
      <c r="S407" s="6"/>
      <c r="T407" s="8"/>
      <c r="U407" s="7"/>
      <c r="V407" s="7"/>
      <c r="W407" s="6"/>
      <c r="AB407" s="1"/>
      <c r="AC407" s="1"/>
      <c r="AD407" s="1"/>
      <c r="AE407" s="1"/>
      <c r="AF407" s="1"/>
      <c r="AG407" s="1"/>
    </row>
    <row r="408" spans="11:33">
      <c r="K408" s="11"/>
      <c r="L408" s="10"/>
      <c r="M408" s="10"/>
      <c r="N408" s="9"/>
      <c r="O408" s="6"/>
      <c r="P408" s="8"/>
      <c r="Q408" s="6"/>
      <c r="R408" s="8"/>
      <c r="S408" s="6"/>
      <c r="T408" s="8"/>
      <c r="U408" s="7"/>
      <c r="V408" s="7"/>
      <c r="W408" s="6"/>
      <c r="AB408" s="1"/>
      <c r="AC408" s="1"/>
      <c r="AD408" s="1"/>
      <c r="AE408" s="1"/>
      <c r="AF408" s="1"/>
      <c r="AG408" s="1"/>
    </row>
    <row r="409" spans="11:33">
      <c r="L409" s="10"/>
      <c r="M409" s="10"/>
      <c r="N409" s="9"/>
      <c r="O409" s="6"/>
      <c r="P409" s="8"/>
      <c r="Q409" s="6"/>
      <c r="R409" s="8"/>
      <c r="S409" s="6"/>
      <c r="T409" s="8"/>
      <c r="U409" s="7"/>
      <c r="V409" s="7"/>
      <c r="W409" s="6"/>
      <c r="AB409" s="1"/>
      <c r="AC409" s="1"/>
      <c r="AD409" s="1"/>
      <c r="AE409" s="1"/>
      <c r="AF409" s="1"/>
      <c r="AG409" s="1"/>
    </row>
    <row r="410" spans="11:33">
      <c r="L410" s="10"/>
      <c r="M410" s="10"/>
      <c r="N410" s="9"/>
      <c r="O410" s="6"/>
      <c r="P410" s="8"/>
      <c r="Q410" s="6"/>
      <c r="R410" s="8"/>
      <c r="S410" s="6"/>
      <c r="T410" s="8"/>
      <c r="U410" s="7"/>
      <c r="V410" s="7"/>
      <c r="W410" s="6"/>
      <c r="AB410" s="1"/>
      <c r="AC410" s="1"/>
      <c r="AD410" s="1"/>
      <c r="AE410" s="1"/>
      <c r="AF410" s="1"/>
      <c r="AG410" s="1"/>
    </row>
    <row r="411" spans="11:33">
      <c r="O411" s="6"/>
      <c r="P411" s="8"/>
      <c r="Q411" s="6"/>
      <c r="R411" s="69"/>
      <c r="S411" s="6"/>
      <c r="T411" s="8"/>
      <c r="U411" s="7"/>
      <c r="V411" s="7"/>
      <c r="W411" s="6"/>
      <c r="AB411" s="1"/>
      <c r="AC411" s="1"/>
      <c r="AD411" s="1"/>
      <c r="AE411" s="1"/>
      <c r="AF411" s="1"/>
      <c r="AG411" s="1"/>
    </row>
    <row r="412" spans="11:33">
      <c r="O412" s="5"/>
      <c r="P412" s="4"/>
      <c r="AB412" s="1"/>
      <c r="AC412" s="1"/>
      <c r="AD412" s="1"/>
      <c r="AE412" s="1"/>
      <c r="AF412" s="1"/>
      <c r="AG412" s="1"/>
    </row>
    <row r="413" spans="11:33">
      <c r="AB413" s="1"/>
      <c r="AC413" s="1"/>
      <c r="AD413" s="1"/>
      <c r="AE413" s="1"/>
      <c r="AF413" s="1"/>
      <c r="AG413" s="1"/>
    </row>
    <row r="414" spans="11:33">
      <c r="AB414" s="1"/>
      <c r="AC414" s="1"/>
      <c r="AD414" s="1"/>
      <c r="AE414" s="1"/>
      <c r="AF414" s="1"/>
      <c r="AG414" s="1"/>
    </row>
    <row r="415" spans="11:33">
      <c r="AB415" s="1"/>
      <c r="AC415" s="1"/>
      <c r="AD415" s="1"/>
      <c r="AE415" s="1"/>
      <c r="AF415" s="1"/>
      <c r="AG415" s="1"/>
    </row>
    <row r="416" spans="11:33">
      <c r="AB416" s="1"/>
      <c r="AC416" s="1"/>
      <c r="AD416" s="1"/>
      <c r="AE416" s="1"/>
      <c r="AF416" s="1"/>
      <c r="AG416" s="1"/>
    </row>
    <row r="417" spans="12:33">
      <c r="AB417" s="1"/>
      <c r="AC417" s="1"/>
      <c r="AD417" s="1"/>
      <c r="AE417" s="1"/>
      <c r="AF417" s="1"/>
      <c r="AG417" s="1"/>
    </row>
    <row r="418" spans="12:33">
      <c r="AB418" s="1"/>
      <c r="AC418" s="1"/>
      <c r="AD418" s="1"/>
      <c r="AE418" s="1"/>
      <c r="AF418" s="1"/>
      <c r="AG418" s="1"/>
    </row>
    <row r="419" spans="12:33">
      <c r="AB419" s="1"/>
      <c r="AC419" s="1"/>
      <c r="AD419" s="1"/>
      <c r="AE419" s="1"/>
      <c r="AF419" s="1"/>
      <c r="AG419" s="1"/>
    </row>
    <row r="420" spans="12:33">
      <c r="AB420" s="1"/>
      <c r="AC420" s="1"/>
      <c r="AD420" s="1"/>
      <c r="AE420" s="1"/>
      <c r="AF420" s="1"/>
      <c r="AG420" s="1"/>
    </row>
    <row r="421" spans="12:33">
      <c r="R421" s="12"/>
      <c r="S421" s="12"/>
      <c r="V421" s="12"/>
      <c r="W421" s="12"/>
      <c r="AB421" s="1"/>
      <c r="AC421" s="1"/>
      <c r="AD421" s="1"/>
      <c r="AE421" s="1"/>
      <c r="AF421" s="1"/>
      <c r="AG421" s="1"/>
    </row>
    <row r="422" spans="12:33">
      <c r="W422" s="12"/>
      <c r="AB422" s="1"/>
      <c r="AC422" s="1"/>
      <c r="AD422" s="1"/>
      <c r="AE422" s="1"/>
      <c r="AF422" s="1"/>
      <c r="AG422" s="1"/>
    </row>
    <row r="423" spans="12:33">
      <c r="Q423" s="8"/>
      <c r="R423" s="8"/>
      <c r="S423" s="8"/>
      <c r="AB423" s="1"/>
      <c r="AC423" s="1"/>
      <c r="AD423" s="1"/>
      <c r="AE423" s="1"/>
      <c r="AF423" s="1"/>
      <c r="AG423" s="1"/>
    </row>
    <row r="424" spans="12:33">
      <c r="Q424" s="8"/>
      <c r="R424" s="8"/>
      <c r="S424" s="8"/>
      <c r="AB424" s="1"/>
      <c r="AC424" s="1"/>
      <c r="AD424" s="1"/>
      <c r="AE424" s="1"/>
      <c r="AF424" s="1"/>
      <c r="AG424" s="1"/>
    </row>
    <row r="425" spans="12:33">
      <c r="Q425" s="8"/>
      <c r="R425" s="8"/>
      <c r="S425" s="8"/>
      <c r="AB425" s="1"/>
      <c r="AC425" s="1"/>
      <c r="AD425" s="1"/>
      <c r="AE425" s="1"/>
      <c r="AF425" s="1"/>
      <c r="AG425" s="1"/>
    </row>
    <row r="426" spans="12:33">
      <c r="Q426" s="8"/>
      <c r="R426" s="8"/>
      <c r="S426" s="8"/>
      <c r="AB426" s="1"/>
      <c r="AC426" s="1"/>
      <c r="AD426" s="1"/>
      <c r="AE426" s="1"/>
      <c r="AF426" s="1"/>
      <c r="AG426" s="1"/>
    </row>
    <row r="427" spans="12:33">
      <c r="P427" s="107"/>
      <c r="T427" s="107"/>
      <c r="AB427" s="1"/>
      <c r="AC427" s="1"/>
      <c r="AD427" s="1"/>
      <c r="AE427" s="1"/>
      <c r="AF427" s="1"/>
      <c r="AG427" s="1"/>
    </row>
    <row r="428" spans="12:33">
      <c r="AB428" s="1"/>
      <c r="AC428" s="1"/>
      <c r="AD428" s="1"/>
      <c r="AE428" s="1"/>
      <c r="AF428" s="1"/>
      <c r="AG428" s="1"/>
    </row>
    <row r="429" spans="12:33"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AB429" s="1"/>
      <c r="AC429" s="1"/>
      <c r="AD429" s="1"/>
      <c r="AE429" s="1"/>
      <c r="AF429" s="1"/>
      <c r="AG429" s="1"/>
    </row>
    <row r="430" spans="12:33">
      <c r="L430" s="14"/>
      <c r="M430" s="14"/>
      <c r="N430" s="14"/>
      <c r="O430" s="12"/>
      <c r="P430" s="12"/>
      <c r="Q430" s="12"/>
      <c r="R430" s="14"/>
      <c r="S430" s="14"/>
      <c r="T430" s="12"/>
      <c r="V430" s="12"/>
      <c r="AB430" s="1"/>
      <c r="AC430" s="1"/>
      <c r="AD430" s="1"/>
      <c r="AE430" s="1"/>
      <c r="AF430" s="1"/>
      <c r="AG430" s="1"/>
    </row>
    <row r="431" spans="12:33">
      <c r="L431" s="12"/>
      <c r="M431" s="12"/>
      <c r="N431" s="12"/>
      <c r="O431" s="12"/>
      <c r="P431" s="12"/>
      <c r="Q431" s="12"/>
      <c r="R431" s="12"/>
      <c r="S431" s="12"/>
      <c r="T431" s="12"/>
      <c r="U431" s="13"/>
      <c r="V431" s="13"/>
      <c r="W431" s="12"/>
      <c r="AB431" s="1"/>
      <c r="AC431" s="1"/>
      <c r="AD431" s="1"/>
      <c r="AE431" s="1"/>
      <c r="AF431" s="1"/>
      <c r="AG431" s="1"/>
    </row>
    <row r="432" spans="12:33">
      <c r="L432" s="10"/>
      <c r="M432" s="10"/>
      <c r="N432" s="9"/>
      <c r="O432" s="6"/>
      <c r="P432" s="8"/>
      <c r="Q432" s="6"/>
      <c r="R432" s="8"/>
      <c r="S432" s="6"/>
      <c r="T432" s="8"/>
      <c r="U432" s="7"/>
      <c r="V432" s="7"/>
      <c r="W432" s="6"/>
      <c r="AB432" s="1"/>
      <c r="AC432" s="1"/>
      <c r="AD432" s="1"/>
      <c r="AE432" s="1"/>
      <c r="AF432" s="1"/>
      <c r="AG432" s="1"/>
    </row>
    <row r="433" spans="11:33">
      <c r="K433" s="11"/>
      <c r="L433" s="10"/>
      <c r="M433" s="10"/>
      <c r="N433" s="9"/>
      <c r="O433" s="6"/>
      <c r="P433" s="8"/>
      <c r="Q433" s="6"/>
      <c r="R433" s="8"/>
      <c r="S433" s="6"/>
      <c r="T433" s="8"/>
      <c r="U433" s="7"/>
      <c r="V433" s="7"/>
      <c r="W433" s="6"/>
      <c r="AB433" s="1"/>
      <c r="AC433" s="1"/>
      <c r="AD433" s="1"/>
      <c r="AE433" s="1"/>
      <c r="AF433" s="1"/>
      <c r="AG433" s="1"/>
    </row>
    <row r="434" spans="11:33">
      <c r="L434" s="10"/>
      <c r="M434" s="10"/>
      <c r="N434" s="9"/>
      <c r="O434" s="6"/>
      <c r="P434" s="8"/>
      <c r="Q434" s="6"/>
      <c r="R434" s="8"/>
      <c r="S434" s="6"/>
      <c r="T434" s="8"/>
      <c r="U434" s="7"/>
      <c r="V434" s="7"/>
      <c r="W434" s="6"/>
      <c r="AB434" s="1"/>
      <c r="AC434" s="1"/>
      <c r="AD434" s="1"/>
      <c r="AE434" s="1"/>
      <c r="AF434" s="1"/>
      <c r="AG434" s="1"/>
    </row>
    <row r="435" spans="11:33">
      <c r="L435" s="10"/>
      <c r="M435" s="10"/>
      <c r="N435" s="9"/>
      <c r="O435" s="6"/>
      <c r="P435" s="8"/>
      <c r="Q435" s="6"/>
      <c r="R435" s="8"/>
      <c r="S435" s="6"/>
      <c r="T435" s="8"/>
      <c r="U435" s="7"/>
      <c r="V435" s="7"/>
      <c r="W435" s="6"/>
      <c r="AB435" s="1"/>
      <c r="AC435" s="1"/>
      <c r="AD435" s="1"/>
      <c r="AE435" s="1"/>
      <c r="AF435" s="1"/>
      <c r="AG435" s="1"/>
    </row>
    <row r="436" spans="11:33">
      <c r="O436" s="6"/>
      <c r="P436" s="8"/>
      <c r="Q436" s="6"/>
      <c r="R436" s="69"/>
      <c r="S436" s="6"/>
      <c r="T436" s="8"/>
      <c r="U436" s="7"/>
      <c r="V436" s="7"/>
      <c r="W436" s="6"/>
      <c r="AB436" s="1"/>
      <c r="AC436" s="1"/>
      <c r="AD436" s="1"/>
      <c r="AE436" s="1"/>
      <c r="AF436" s="1"/>
      <c r="AG436" s="1"/>
    </row>
    <row r="437" spans="11:33">
      <c r="O437" s="5"/>
      <c r="P437" s="4"/>
      <c r="AB437" s="1"/>
      <c r="AC437" s="1"/>
      <c r="AD437" s="1"/>
      <c r="AE437" s="1"/>
      <c r="AF437" s="1"/>
      <c r="AG437" s="1"/>
    </row>
    <row r="438" spans="11:33">
      <c r="AB438" s="1"/>
      <c r="AC438" s="1"/>
      <c r="AD438" s="1"/>
      <c r="AE438" s="1"/>
      <c r="AF438" s="1"/>
      <c r="AG438" s="1"/>
    </row>
    <row r="439" spans="11:33">
      <c r="AB439" s="1"/>
      <c r="AC439" s="1"/>
      <c r="AD439" s="1"/>
      <c r="AE439" s="1"/>
      <c r="AF439" s="1"/>
      <c r="AG439" s="1"/>
    </row>
    <row r="440" spans="11:33">
      <c r="AB440" s="1"/>
      <c r="AC440" s="1"/>
      <c r="AD440" s="1"/>
      <c r="AE440" s="1"/>
      <c r="AF440" s="1"/>
      <c r="AG440" s="1"/>
    </row>
    <row r="441" spans="11:33">
      <c r="AB441" s="1"/>
      <c r="AC441" s="1"/>
      <c r="AD441" s="1"/>
      <c r="AE441" s="1"/>
      <c r="AF441" s="1"/>
      <c r="AG441" s="1"/>
    </row>
    <row r="442" spans="11:33">
      <c r="AB442" s="1"/>
      <c r="AC442" s="1"/>
      <c r="AD442" s="1"/>
      <c r="AE442" s="1"/>
      <c r="AF442" s="1"/>
      <c r="AG442" s="1"/>
    </row>
    <row r="443" spans="11:33">
      <c r="AB443" s="1"/>
      <c r="AC443" s="1"/>
      <c r="AD443" s="1"/>
      <c r="AE443" s="1"/>
      <c r="AF443" s="1"/>
      <c r="AG443" s="1"/>
    </row>
    <row r="444" spans="11:33">
      <c r="AB444" s="1"/>
      <c r="AC444" s="1"/>
      <c r="AD444" s="1"/>
      <c r="AE444" s="1"/>
      <c r="AF444" s="1"/>
      <c r="AG444" s="1"/>
    </row>
    <row r="445" spans="11:33">
      <c r="AB445" s="1"/>
      <c r="AC445" s="1"/>
      <c r="AD445" s="1"/>
      <c r="AE445" s="1"/>
      <c r="AF445" s="1"/>
      <c r="AG445" s="1"/>
    </row>
    <row r="446" spans="11:33">
      <c r="R446" s="12"/>
      <c r="S446" s="12"/>
      <c r="V446" s="12"/>
      <c r="W446" s="12"/>
      <c r="AB446" s="1"/>
      <c r="AC446" s="1"/>
      <c r="AD446" s="1"/>
      <c r="AE446" s="1"/>
      <c r="AF446" s="1"/>
      <c r="AG446" s="1"/>
    </row>
    <row r="447" spans="11:33">
      <c r="W447" s="12"/>
      <c r="AB447" s="1"/>
      <c r="AC447" s="1"/>
      <c r="AD447" s="1"/>
      <c r="AE447" s="1"/>
      <c r="AF447" s="1"/>
      <c r="AG447" s="1"/>
    </row>
    <row r="448" spans="11:33">
      <c r="Q448" s="8"/>
      <c r="R448" s="8"/>
      <c r="S448" s="8"/>
      <c r="AB448" s="1"/>
      <c r="AC448" s="1"/>
      <c r="AD448" s="1"/>
      <c r="AE448" s="1"/>
      <c r="AF448" s="1"/>
      <c r="AG448" s="1"/>
    </row>
    <row r="449" spans="11:33">
      <c r="Q449" s="8"/>
      <c r="R449" s="8"/>
      <c r="S449" s="8"/>
      <c r="AB449" s="1"/>
      <c r="AC449" s="1"/>
      <c r="AD449" s="1"/>
      <c r="AE449" s="1"/>
      <c r="AF449" s="1"/>
      <c r="AG449" s="1"/>
    </row>
    <row r="450" spans="11:33">
      <c r="Q450" s="8"/>
      <c r="R450" s="8"/>
      <c r="S450" s="8"/>
      <c r="AB450" s="1"/>
      <c r="AC450" s="1"/>
      <c r="AD450" s="1"/>
      <c r="AE450" s="1"/>
      <c r="AF450" s="1"/>
      <c r="AG450" s="1"/>
    </row>
    <row r="451" spans="11:33">
      <c r="Q451" s="8"/>
      <c r="R451" s="8"/>
      <c r="S451" s="8"/>
      <c r="AB451" s="1"/>
      <c r="AC451" s="1"/>
      <c r="AD451" s="1"/>
      <c r="AE451" s="1"/>
      <c r="AF451" s="1"/>
      <c r="AG451" s="1"/>
    </row>
    <row r="452" spans="11:33">
      <c r="P452" s="107"/>
      <c r="T452" s="107"/>
      <c r="AB452" s="1"/>
      <c r="AC452" s="1"/>
      <c r="AD452" s="1"/>
      <c r="AE452" s="1"/>
      <c r="AF452" s="1"/>
      <c r="AG452" s="1"/>
    </row>
    <row r="453" spans="11:33">
      <c r="AB453" s="1"/>
      <c r="AC453" s="1"/>
      <c r="AD453" s="1"/>
      <c r="AE453" s="1"/>
      <c r="AF453" s="1"/>
      <c r="AG453" s="1"/>
    </row>
    <row r="454" spans="11:33"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AB454" s="1"/>
      <c r="AC454" s="1"/>
      <c r="AD454" s="1"/>
      <c r="AE454" s="1"/>
      <c r="AF454" s="1"/>
      <c r="AG454" s="1"/>
    </row>
    <row r="455" spans="11:33">
      <c r="L455" s="14"/>
      <c r="M455" s="14"/>
      <c r="N455" s="14"/>
      <c r="O455" s="12"/>
      <c r="P455" s="12"/>
      <c r="Q455" s="12"/>
      <c r="R455" s="14"/>
      <c r="S455" s="14"/>
      <c r="T455" s="12"/>
      <c r="V455" s="12"/>
      <c r="AB455" s="1"/>
      <c r="AC455" s="1"/>
      <c r="AD455" s="1"/>
      <c r="AE455" s="1"/>
      <c r="AF455" s="1"/>
      <c r="AG455" s="1"/>
    </row>
    <row r="456" spans="11:33">
      <c r="L456" s="12"/>
      <c r="M456" s="12"/>
      <c r="N456" s="12"/>
      <c r="O456" s="12"/>
      <c r="P456" s="12"/>
      <c r="Q456" s="12"/>
      <c r="R456" s="12"/>
      <c r="S456" s="12"/>
      <c r="T456" s="12"/>
      <c r="U456" s="13"/>
      <c r="V456" s="13"/>
      <c r="W456" s="12"/>
      <c r="AB456" s="1"/>
      <c r="AC456" s="1"/>
      <c r="AD456" s="1"/>
      <c r="AE456" s="1"/>
      <c r="AF456" s="1"/>
      <c r="AG456" s="1"/>
    </row>
    <row r="457" spans="11:33">
      <c r="L457" s="10"/>
      <c r="M457" s="10"/>
      <c r="N457" s="9"/>
      <c r="O457" s="6"/>
      <c r="P457" s="8"/>
      <c r="Q457" s="6"/>
      <c r="R457" s="8"/>
      <c r="S457" s="6"/>
      <c r="T457" s="8"/>
      <c r="U457" s="7"/>
      <c r="V457" s="7"/>
      <c r="W457" s="6"/>
      <c r="AB457" s="1"/>
      <c r="AC457" s="1"/>
      <c r="AD457" s="1"/>
      <c r="AE457" s="1"/>
      <c r="AF457" s="1"/>
      <c r="AG457" s="1"/>
    </row>
    <row r="458" spans="11:33">
      <c r="K458" s="11"/>
      <c r="L458" s="10"/>
      <c r="M458" s="10"/>
      <c r="N458" s="9"/>
      <c r="O458" s="6"/>
      <c r="P458" s="8"/>
      <c r="Q458" s="6"/>
      <c r="R458" s="8"/>
      <c r="S458" s="6"/>
      <c r="T458" s="8"/>
      <c r="U458" s="7"/>
      <c r="V458" s="7"/>
      <c r="W458" s="6"/>
      <c r="AB458" s="1"/>
      <c r="AC458" s="1"/>
      <c r="AD458" s="1"/>
      <c r="AE458" s="1"/>
      <c r="AF458" s="1"/>
      <c r="AG458" s="1"/>
    </row>
    <row r="459" spans="11:33">
      <c r="L459" s="10"/>
      <c r="M459" s="10"/>
      <c r="N459" s="9"/>
      <c r="O459" s="6"/>
      <c r="P459" s="8"/>
      <c r="Q459" s="6"/>
      <c r="R459" s="8"/>
      <c r="S459" s="6"/>
      <c r="T459" s="8"/>
      <c r="U459" s="7"/>
      <c r="V459" s="7"/>
      <c r="W459" s="6"/>
      <c r="AB459" s="1"/>
      <c r="AC459" s="1"/>
      <c r="AD459" s="1"/>
      <c r="AE459" s="1"/>
      <c r="AF459" s="1"/>
      <c r="AG459" s="1"/>
    </row>
    <row r="460" spans="11:33">
      <c r="L460" s="10"/>
      <c r="M460" s="10"/>
      <c r="N460" s="9"/>
      <c r="O460" s="6"/>
      <c r="P460" s="8"/>
      <c r="Q460" s="6"/>
      <c r="R460" s="8"/>
      <c r="S460" s="6"/>
      <c r="T460" s="8"/>
      <c r="U460" s="7"/>
      <c r="V460" s="7"/>
      <c r="W460" s="6"/>
      <c r="AB460" s="1"/>
      <c r="AC460" s="1"/>
      <c r="AD460" s="1"/>
      <c r="AE460" s="1"/>
      <c r="AF460" s="1"/>
      <c r="AG460" s="1"/>
    </row>
    <row r="461" spans="11:33">
      <c r="O461" s="6"/>
      <c r="P461" s="8"/>
      <c r="Q461" s="6"/>
      <c r="R461" s="69"/>
      <c r="S461" s="6"/>
      <c r="T461" s="8"/>
      <c r="U461" s="7"/>
      <c r="V461" s="7"/>
      <c r="W461" s="6"/>
      <c r="AB461" s="1"/>
      <c r="AC461" s="1"/>
      <c r="AD461" s="1"/>
      <c r="AE461" s="1"/>
      <c r="AF461" s="1"/>
      <c r="AG461" s="1"/>
    </row>
    <row r="462" spans="11:33">
      <c r="O462" s="5"/>
      <c r="P462" s="4"/>
      <c r="AB462" s="1"/>
      <c r="AC462" s="1"/>
      <c r="AD462" s="1"/>
      <c r="AE462" s="1"/>
      <c r="AF462" s="1"/>
      <c r="AG462" s="1"/>
    </row>
    <row r="463" spans="11:33">
      <c r="AB463" s="1"/>
      <c r="AC463" s="1"/>
      <c r="AD463" s="1"/>
      <c r="AE463" s="1"/>
      <c r="AF463" s="1"/>
      <c r="AG463" s="1"/>
    </row>
    <row r="464" spans="11:33">
      <c r="AB464" s="1"/>
      <c r="AC464" s="1"/>
      <c r="AD464" s="1"/>
      <c r="AE464" s="1"/>
      <c r="AF464" s="1"/>
      <c r="AG464" s="1"/>
    </row>
    <row r="465" spans="1:27" s="1" customFormat="1">
      <c r="A465"/>
      <c r="B465"/>
      <c r="C465"/>
      <c r="D465"/>
      <c r="E465"/>
      <c r="F465"/>
      <c r="G465"/>
      <c r="H465"/>
      <c r="I465"/>
      <c r="J465" s="3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</row>
    <row r="466" spans="1:27" s="1" customFormat="1">
      <c r="A466"/>
      <c r="B466"/>
      <c r="C466"/>
      <c r="D466"/>
      <c r="E466"/>
      <c r="F466"/>
      <c r="G466"/>
      <c r="H466"/>
      <c r="I466"/>
      <c r="J466" s="3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</row>
    <row r="467" spans="1:27" s="1" customFormat="1">
      <c r="A467"/>
      <c r="B467"/>
      <c r="C467"/>
      <c r="D467"/>
      <c r="E467"/>
      <c r="F467"/>
      <c r="G467"/>
      <c r="H467"/>
      <c r="I467"/>
      <c r="J467" s="3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</row>
    <row r="468" spans="1:27" s="1" customFormat="1">
      <c r="A468"/>
      <c r="B468"/>
      <c r="C468"/>
      <c r="D468"/>
      <c r="E468"/>
      <c r="F468"/>
      <c r="G468"/>
      <c r="H468"/>
      <c r="I468"/>
      <c r="J468" s="3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</row>
    <row r="469" spans="1:27" s="1" customFormat="1">
      <c r="A469"/>
      <c r="B469"/>
      <c r="C469"/>
      <c r="D469"/>
      <c r="E469"/>
      <c r="F469"/>
      <c r="G469"/>
      <c r="H469"/>
      <c r="I469"/>
      <c r="J469" s="3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</row>
    <row r="470" spans="1:27" s="1" customFormat="1">
      <c r="A470"/>
      <c r="B470"/>
      <c r="C470"/>
      <c r="D470"/>
      <c r="E470"/>
      <c r="F470"/>
      <c r="G470"/>
      <c r="H470"/>
      <c r="I470"/>
      <c r="J470" s="3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</row>
    <row r="471" spans="1:27" s="1" customFormat="1">
      <c r="A471"/>
      <c r="B471"/>
      <c r="C471"/>
      <c r="D471"/>
      <c r="E471"/>
      <c r="F471"/>
      <c r="G471"/>
      <c r="H471"/>
      <c r="I471"/>
      <c r="J471" s="3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</row>
    <row r="472" spans="1:27" s="1" customFormat="1">
      <c r="A472"/>
      <c r="B472"/>
      <c r="C472"/>
      <c r="D472"/>
      <c r="E472"/>
      <c r="F472"/>
      <c r="G472"/>
      <c r="H472"/>
      <c r="I472"/>
      <c r="J472" s="3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</row>
    <row r="473" spans="1:27" s="1" customFormat="1">
      <c r="A473"/>
      <c r="B473"/>
      <c r="C473"/>
      <c r="D473"/>
      <c r="E473"/>
      <c r="F473"/>
      <c r="G473"/>
      <c r="H473"/>
      <c r="I473"/>
      <c r="J473" s="3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</row>
    <row r="474" spans="1:27" s="1" customFormat="1">
      <c r="A474"/>
      <c r="B474"/>
      <c r="C474"/>
      <c r="D474"/>
      <c r="E474"/>
      <c r="F474"/>
      <c r="G474"/>
      <c r="H474"/>
      <c r="I474"/>
      <c r="J474" s="3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</row>
    <row r="475" spans="1:27" s="1" customFormat="1">
      <c r="A475"/>
      <c r="B475"/>
      <c r="C475"/>
      <c r="D475"/>
      <c r="E475"/>
      <c r="F475"/>
      <c r="G475"/>
      <c r="H475"/>
      <c r="I475"/>
      <c r="J475" s="3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</row>
    <row r="476" spans="1:27" s="1" customFormat="1">
      <c r="A476"/>
      <c r="B476"/>
      <c r="C476"/>
      <c r="D476"/>
      <c r="E476"/>
      <c r="F476"/>
      <c r="G476"/>
      <c r="H476"/>
      <c r="I476"/>
      <c r="J476" s="3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</row>
    <row r="477" spans="1:27" s="1" customFormat="1">
      <c r="A477"/>
      <c r="B477"/>
      <c r="C477"/>
      <c r="D477"/>
      <c r="E477"/>
      <c r="F477"/>
      <c r="G477"/>
      <c r="H477"/>
      <c r="I477"/>
      <c r="J477" s="3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</row>
    <row r="478" spans="1:27" s="1" customFormat="1">
      <c r="A478"/>
      <c r="B478"/>
      <c r="C478"/>
      <c r="D478"/>
      <c r="E478"/>
      <c r="F478"/>
      <c r="G478"/>
      <c r="H478"/>
      <c r="I478"/>
      <c r="J478" s="3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</row>
    <row r="479" spans="1:27" s="1" customFormat="1">
      <c r="A479"/>
      <c r="B479"/>
      <c r="C479"/>
      <c r="D479"/>
      <c r="E479"/>
      <c r="F479"/>
      <c r="G479"/>
      <c r="H479"/>
      <c r="I479"/>
      <c r="J479" s="3"/>
      <c r="K479" s="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2"/>
      <c r="Y479" s="2"/>
      <c r="Z479" s="2"/>
      <c r="AA479" s="2"/>
    </row>
    <row r="480" spans="1:27" s="1" customFormat="1">
      <c r="A480"/>
      <c r="B480"/>
      <c r="C480"/>
      <c r="D480"/>
      <c r="E480"/>
      <c r="F480"/>
      <c r="G480"/>
      <c r="H480"/>
      <c r="I480"/>
      <c r="J480" s="3"/>
      <c r="K480" s="2"/>
      <c r="L480" s="14"/>
      <c r="M480" s="14"/>
      <c r="N480" s="14"/>
      <c r="O480" s="12"/>
      <c r="P480" s="12"/>
      <c r="Q480" s="12"/>
      <c r="R480" s="14"/>
      <c r="S480" s="14"/>
      <c r="T480" s="12"/>
      <c r="U480" s="2"/>
      <c r="V480" s="12"/>
      <c r="W480" s="2"/>
      <c r="X480" s="2"/>
      <c r="Y480" s="2"/>
      <c r="Z480" s="2"/>
      <c r="AA480" s="2"/>
    </row>
    <row r="481" spans="1:27" s="1" customFormat="1">
      <c r="A481"/>
      <c r="B481"/>
      <c r="C481"/>
      <c r="D481"/>
      <c r="E481"/>
      <c r="F481"/>
      <c r="G481"/>
      <c r="H481"/>
      <c r="I481"/>
      <c r="K481" s="2"/>
      <c r="L481" s="12"/>
      <c r="M481" s="12"/>
      <c r="N481" s="12"/>
      <c r="O481" s="12"/>
      <c r="P481" s="12"/>
      <c r="Q481" s="12"/>
      <c r="R481" s="12"/>
      <c r="S481" s="12"/>
      <c r="T481" s="12"/>
      <c r="U481" s="13"/>
      <c r="V481" s="13"/>
      <c r="W481" s="12"/>
      <c r="X481" s="2"/>
      <c r="Y481" s="2"/>
      <c r="Z481" s="2"/>
      <c r="AA481" s="2"/>
    </row>
    <row r="482" spans="1:27" s="1" customFormat="1">
      <c r="A482"/>
      <c r="B482"/>
      <c r="C482"/>
      <c r="D482"/>
      <c r="E482"/>
      <c r="F482"/>
      <c r="G482"/>
      <c r="H482"/>
      <c r="I482"/>
      <c r="K482" s="2"/>
      <c r="L482" s="10"/>
      <c r="M482" s="10"/>
      <c r="N482" s="9"/>
      <c r="O482" s="6"/>
      <c r="P482" s="8"/>
      <c r="Q482" s="6"/>
      <c r="R482" s="8"/>
      <c r="S482" s="6"/>
      <c r="T482" s="8"/>
      <c r="U482" s="7"/>
      <c r="V482" s="7"/>
      <c r="W482" s="6"/>
      <c r="X482" s="2"/>
      <c r="Y482" s="2"/>
      <c r="Z482" s="2"/>
      <c r="AA482" s="2"/>
    </row>
    <row r="483" spans="1:27" s="1" customFormat="1">
      <c r="A483"/>
      <c r="B483"/>
      <c r="C483"/>
      <c r="D483"/>
      <c r="E483"/>
      <c r="F483"/>
      <c r="G483"/>
      <c r="H483"/>
      <c r="I483"/>
      <c r="K483" s="11"/>
      <c r="L483" s="10"/>
      <c r="M483" s="10"/>
      <c r="N483" s="9"/>
      <c r="O483" s="6"/>
      <c r="P483" s="8"/>
      <c r="Q483" s="6"/>
      <c r="R483" s="8"/>
      <c r="S483" s="6"/>
      <c r="T483" s="8"/>
      <c r="U483" s="7"/>
      <c r="V483" s="7"/>
      <c r="W483" s="6"/>
      <c r="X483" s="2"/>
      <c r="Y483" s="2"/>
      <c r="Z483" s="2"/>
      <c r="AA483" s="2"/>
    </row>
    <row r="484" spans="1:27" s="1" customFormat="1">
      <c r="A484"/>
      <c r="B484"/>
      <c r="C484"/>
      <c r="D484"/>
      <c r="E484"/>
      <c r="F484"/>
      <c r="G484"/>
      <c r="H484"/>
      <c r="I484"/>
      <c r="K484" s="2"/>
      <c r="L484" s="10"/>
      <c r="M484" s="10"/>
      <c r="N484" s="9"/>
      <c r="O484" s="6"/>
      <c r="P484" s="8"/>
      <c r="Q484" s="6"/>
      <c r="R484" s="8"/>
      <c r="S484" s="6"/>
      <c r="T484" s="8"/>
      <c r="U484" s="7"/>
      <c r="V484" s="7"/>
      <c r="W484" s="6"/>
      <c r="X484" s="2"/>
      <c r="Y484" s="2"/>
      <c r="Z484" s="2"/>
      <c r="AA484" s="2"/>
    </row>
    <row r="485" spans="1:27" s="1" customFormat="1">
      <c r="A485"/>
      <c r="B485"/>
      <c r="C485"/>
      <c r="D485"/>
      <c r="E485"/>
      <c r="F485"/>
      <c r="G485"/>
      <c r="H485"/>
      <c r="I485"/>
      <c r="K485" s="2"/>
      <c r="L485" s="10"/>
      <c r="M485" s="10"/>
      <c r="N485" s="9"/>
      <c r="O485" s="6"/>
      <c r="P485" s="8"/>
      <c r="Q485" s="6"/>
      <c r="R485" s="8"/>
      <c r="S485" s="6"/>
      <c r="T485" s="8"/>
      <c r="U485" s="7"/>
      <c r="V485" s="7"/>
      <c r="W485" s="6"/>
      <c r="X485" s="2"/>
      <c r="Y485" s="2"/>
      <c r="Z485" s="2"/>
      <c r="AA485" s="2"/>
    </row>
    <row r="486" spans="1:27" s="1" customFormat="1">
      <c r="A486"/>
      <c r="B486"/>
      <c r="C486"/>
      <c r="D486"/>
      <c r="E486"/>
      <c r="F486"/>
      <c r="G486"/>
      <c r="H486"/>
      <c r="I486"/>
      <c r="K486" s="2"/>
      <c r="L486" s="2"/>
      <c r="M486" s="2"/>
      <c r="N486" s="2"/>
      <c r="O486" s="6"/>
      <c r="P486" s="8"/>
      <c r="Q486" s="6"/>
      <c r="R486" s="8"/>
      <c r="S486" s="6"/>
      <c r="T486" s="8"/>
      <c r="U486" s="7"/>
      <c r="V486" s="7"/>
      <c r="W486" s="6"/>
      <c r="X486" s="2"/>
      <c r="Y486" s="2"/>
      <c r="Z486" s="2"/>
      <c r="AA486" s="2"/>
    </row>
    <row r="487" spans="1:27" s="1" customFormat="1">
      <c r="A487"/>
      <c r="B487"/>
      <c r="C487"/>
      <c r="D487"/>
      <c r="E487"/>
      <c r="F487"/>
      <c r="G487"/>
      <c r="H487"/>
      <c r="I487"/>
      <c r="K487" s="2"/>
      <c r="L487" s="2"/>
      <c r="M487" s="2"/>
      <c r="N487" s="2"/>
      <c r="O487" s="5"/>
      <c r="P487" s="4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</row>
    <row r="488" spans="1:27" s="1" customFormat="1">
      <c r="A488"/>
      <c r="B488"/>
      <c r="C488"/>
      <c r="D488"/>
      <c r="E488"/>
      <c r="F488"/>
      <c r="G488"/>
      <c r="H488"/>
      <c r="I488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</row>
    <row r="489" spans="1:27" s="1" customFormat="1">
      <c r="A489"/>
      <c r="B489"/>
      <c r="C489"/>
      <c r="D489"/>
      <c r="E489"/>
      <c r="F489"/>
      <c r="G489"/>
      <c r="H489"/>
      <c r="I489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</row>
    <row r="490" spans="1:27" s="1" customFormat="1">
      <c r="A490"/>
      <c r="B490"/>
      <c r="C490"/>
      <c r="D490"/>
      <c r="E490"/>
      <c r="F490"/>
      <c r="G490"/>
      <c r="H490"/>
      <c r="I490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</row>
    <row r="491" spans="1:27" s="1" customFormat="1">
      <c r="A491"/>
      <c r="B491"/>
      <c r="C491"/>
      <c r="D491"/>
      <c r="E491"/>
      <c r="F491"/>
      <c r="G491"/>
      <c r="H491"/>
      <c r="I491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</row>
    <row r="492" spans="1:27" s="1" customFormat="1">
      <c r="A492"/>
      <c r="B492"/>
      <c r="C492"/>
      <c r="D492"/>
      <c r="E492"/>
      <c r="F492"/>
      <c r="G492"/>
      <c r="H492"/>
      <c r="I49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</row>
    <row r="493" spans="1:27" s="1" customFormat="1">
      <c r="A493"/>
      <c r="B493"/>
      <c r="C493"/>
      <c r="D493"/>
      <c r="E493"/>
      <c r="F493"/>
      <c r="G493"/>
      <c r="H493"/>
      <c r="I493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</row>
    <row r="494" spans="1:27" s="1" customFormat="1">
      <c r="A494"/>
      <c r="B494"/>
      <c r="C494"/>
      <c r="D494"/>
      <c r="E494"/>
      <c r="F494"/>
      <c r="G494"/>
      <c r="H494"/>
      <c r="I494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</row>
    <row r="495" spans="1:27" s="1" customFormat="1">
      <c r="A495"/>
      <c r="B495"/>
      <c r="C495"/>
      <c r="D495"/>
      <c r="E495"/>
      <c r="F495"/>
      <c r="G495"/>
      <c r="H495"/>
      <c r="I495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</row>
    <row r="496" spans="1:27" s="1" customFormat="1">
      <c r="A496"/>
      <c r="B496"/>
      <c r="C496"/>
      <c r="D496"/>
      <c r="E496"/>
      <c r="F496"/>
      <c r="G496"/>
      <c r="H496"/>
      <c r="I496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</row>
    <row r="497" spans="1:27" s="1" customFormat="1">
      <c r="A497"/>
      <c r="B497"/>
      <c r="C497"/>
      <c r="D497"/>
      <c r="E497"/>
      <c r="F497"/>
      <c r="G497"/>
      <c r="H497"/>
      <c r="I497"/>
      <c r="J497" s="3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</row>
    <row r="498" spans="1:27" s="1" customFormat="1">
      <c r="A498"/>
      <c r="B498"/>
      <c r="C498"/>
      <c r="D498"/>
      <c r="E498"/>
      <c r="F498"/>
      <c r="G498"/>
      <c r="H498"/>
      <c r="I498"/>
      <c r="J498" s="3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</row>
    <row r="499" spans="1:27" s="1" customFormat="1">
      <c r="A499"/>
      <c r="B499"/>
      <c r="C499"/>
      <c r="D499"/>
      <c r="E499"/>
      <c r="F499"/>
      <c r="G499"/>
      <c r="H499"/>
      <c r="I499"/>
      <c r="J499" s="3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</row>
    <row r="500" spans="1:27" s="1" customFormat="1">
      <c r="A500"/>
      <c r="B500"/>
      <c r="C500"/>
      <c r="D500"/>
      <c r="E500"/>
      <c r="F500"/>
      <c r="G500"/>
      <c r="H500"/>
      <c r="I500"/>
      <c r="J500" s="3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</row>
    <row r="501" spans="1:27" s="1" customFormat="1">
      <c r="A501"/>
      <c r="B501"/>
      <c r="C501"/>
      <c r="D501"/>
      <c r="E501"/>
      <c r="F501"/>
      <c r="G501"/>
      <c r="H501"/>
      <c r="I501"/>
      <c r="J501" s="3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</row>
    <row r="502" spans="1:27" s="1" customFormat="1">
      <c r="A502"/>
      <c r="B502"/>
      <c r="C502"/>
      <c r="D502"/>
      <c r="E502"/>
      <c r="F502"/>
      <c r="G502"/>
      <c r="H502"/>
      <c r="I502"/>
      <c r="J502" s="3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</row>
    <row r="503" spans="1:27" s="1" customFormat="1">
      <c r="A503"/>
      <c r="B503"/>
      <c r="C503"/>
      <c r="D503"/>
      <c r="E503"/>
      <c r="F503"/>
      <c r="G503"/>
      <c r="H503"/>
      <c r="I503"/>
      <c r="J503" s="3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</row>
    <row r="504" spans="1:27" s="1" customFormat="1">
      <c r="A504"/>
      <c r="B504"/>
      <c r="C504"/>
      <c r="D504"/>
      <c r="E504"/>
      <c r="F504"/>
      <c r="G504"/>
      <c r="H504"/>
      <c r="I504"/>
      <c r="J504" s="3"/>
      <c r="K504" s="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2"/>
      <c r="Y504" s="2"/>
      <c r="Z504" s="2"/>
      <c r="AA504" s="2"/>
    </row>
    <row r="505" spans="1:27" s="1" customFormat="1">
      <c r="A505"/>
      <c r="B505"/>
      <c r="C505"/>
      <c r="D505"/>
      <c r="E505"/>
      <c r="F505"/>
      <c r="G505"/>
      <c r="H505"/>
      <c r="I505"/>
      <c r="J505" s="3"/>
      <c r="K505" s="2"/>
      <c r="L505" s="14"/>
      <c r="M505" s="14"/>
      <c r="N505" s="14"/>
      <c r="O505" s="12"/>
      <c r="P505" s="12"/>
      <c r="Q505" s="12"/>
      <c r="R505" s="14"/>
      <c r="S505" s="14"/>
      <c r="T505" s="12"/>
      <c r="U505" s="2"/>
      <c r="V505" s="12"/>
      <c r="W505" s="2"/>
      <c r="X505" s="2"/>
      <c r="Y505" s="2"/>
      <c r="Z505" s="2"/>
      <c r="AA505" s="2"/>
    </row>
    <row r="506" spans="1:27" s="1" customFormat="1">
      <c r="A506"/>
      <c r="B506"/>
      <c r="C506"/>
      <c r="D506"/>
      <c r="E506"/>
      <c r="F506"/>
      <c r="G506"/>
      <c r="H506"/>
      <c r="I506"/>
      <c r="J506" s="3"/>
      <c r="K506" s="2"/>
      <c r="L506" s="12"/>
      <c r="M506" s="12"/>
      <c r="N506" s="12"/>
      <c r="O506" s="12"/>
      <c r="P506" s="12"/>
      <c r="Q506" s="12"/>
      <c r="R506" s="12"/>
      <c r="S506" s="12"/>
      <c r="T506" s="12"/>
      <c r="U506" s="13"/>
      <c r="V506" s="13"/>
      <c r="W506" s="12"/>
      <c r="X506" s="2"/>
      <c r="Y506" s="2"/>
      <c r="Z506" s="2"/>
      <c r="AA506" s="2"/>
    </row>
    <row r="507" spans="1:27" s="1" customFormat="1">
      <c r="A507"/>
      <c r="B507"/>
      <c r="C507"/>
      <c r="D507"/>
      <c r="E507"/>
      <c r="F507"/>
      <c r="G507"/>
      <c r="H507"/>
      <c r="I507"/>
      <c r="J507" s="3"/>
      <c r="K507" s="2"/>
      <c r="L507" s="10"/>
      <c r="M507" s="10"/>
      <c r="N507" s="9"/>
      <c r="O507" s="6"/>
      <c r="P507" s="8"/>
      <c r="Q507" s="6"/>
      <c r="R507" s="8"/>
      <c r="S507" s="6"/>
      <c r="T507" s="8"/>
      <c r="U507" s="7"/>
      <c r="V507" s="7"/>
      <c r="W507" s="6"/>
      <c r="X507" s="2"/>
      <c r="Y507" s="2"/>
      <c r="Z507" s="2"/>
      <c r="AA507" s="2"/>
    </row>
    <row r="508" spans="1:27" s="1" customFormat="1">
      <c r="A508"/>
      <c r="B508"/>
      <c r="C508"/>
      <c r="D508"/>
      <c r="E508"/>
      <c r="F508"/>
      <c r="G508"/>
      <c r="H508"/>
      <c r="I508"/>
      <c r="J508" s="3"/>
      <c r="K508" s="11"/>
      <c r="L508" s="10"/>
      <c r="M508" s="10"/>
      <c r="N508" s="9"/>
      <c r="O508" s="6"/>
      <c r="P508" s="8"/>
      <c r="Q508" s="6"/>
      <c r="R508" s="8"/>
      <c r="S508" s="6"/>
      <c r="T508" s="8"/>
      <c r="U508" s="7"/>
      <c r="V508" s="7"/>
      <c r="W508" s="6"/>
      <c r="X508" s="2"/>
      <c r="Y508" s="2"/>
      <c r="Z508" s="2"/>
      <c r="AA508" s="2"/>
    </row>
    <row r="509" spans="1:27" s="1" customFormat="1">
      <c r="A509"/>
      <c r="B509"/>
      <c r="C509"/>
      <c r="D509"/>
      <c r="E509"/>
      <c r="F509"/>
      <c r="G509"/>
      <c r="H509"/>
      <c r="I509"/>
      <c r="J509" s="3"/>
      <c r="K509" s="2"/>
      <c r="L509" s="10"/>
      <c r="M509" s="10"/>
      <c r="N509" s="9"/>
      <c r="O509" s="6"/>
      <c r="P509" s="8"/>
      <c r="Q509" s="6"/>
      <c r="R509" s="8"/>
      <c r="S509" s="6"/>
      <c r="T509" s="8"/>
      <c r="U509" s="7"/>
      <c r="V509" s="7"/>
      <c r="W509" s="6"/>
      <c r="X509" s="2"/>
      <c r="Y509" s="2"/>
      <c r="Z509" s="2"/>
      <c r="AA509" s="2"/>
    </row>
    <row r="510" spans="1:27" s="1" customFormat="1">
      <c r="A510"/>
      <c r="B510"/>
      <c r="C510"/>
      <c r="D510"/>
      <c r="E510"/>
      <c r="F510"/>
      <c r="G510"/>
      <c r="H510"/>
      <c r="I510"/>
      <c r="J510" s="3"/>
      <c r="K510" s="2"/>
      <c r="L510" s="10"/>
      <c r="M510" s="10"/>
      <c r="N510" s="9"/>
      <c r="O510" s="6"/>
      <c r="P510" s="8"/>
      <c r="Q510" s="6"/>
      <c r="R510" s="8"/>
      <c r="S510" s="6"/>
      <c r="T510" s="8"/>
      <c r="U510" s="7"/>
      <c r="V510" s="7"/>
      <c r="W510" s="6"/>
      <c r="X510" s="2"/>
      <c r="Y510" s="2"/>
      <c r="Z510" s="2"/>
      <c r="AA510" s="2"/>
    </row>
    <row r="511" spans="1:27" s="1" customFormat="1">
      <c r="A511"/>
      <c r="B511"/>
      <c r="C511"/>
      <c r="D511"/>
      <c r="E511"/>
      <c r="F511"/>
      <c r="G511"/>
      <c r="H511"/>
      <c r="I511"/>
      <c r="J511" s="3"/>
      <c r="K511" s="2"/>
      <c r="L511" s="2"/>
      <c r="M511" s="2"/>
      <c r="N511" s="2"/>
      <c r="O511" s="6"/>
      <c r="P511" s="8"/>
      <c r="Q511" s="6"/>
      <c r="R511" s="8"/>
      <c r="S511" s="6"/>
      <c r="T511" s="8"/>
      <c r="U511" s="7"/>
      <c r="V511" s="7"/>
      <c r="W511" s="6"/>
      <c r="X511" s="2"/>
      <c r="Y511" s="2"/>
      <c r="Z511" s="2"/>
      <c r="AA511" s="2"/>
    </row>
    <row r="512" spans="1:27" s="1" customFormat="1">
      <c r="A512"/>
      <c r="B512"/>
      <c r="C512"/>
      <c r="D512"/>
      <c r="E512"/>
      <c r="F512"/>
      <c r="G512"/>
      <c r="H512"/>
      <c r="I512"/>
      <c r="J512" s="3"/>
      <c r="K512" s="2"/>
      <c r="L512" s="2"/>
      <c r="M512" s="2"/>
      <c r="N512" s="2"/>
      <c r="O512" s="5"/>
      <c r="P512" s="4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</row>
    <row r="513" spans="1:27" s="1" customFormat="1">
      <c r="A513"/>
      <c r="B513"/>
      <c r="C513"/>
      <c r="D513"/>
      <c r="E513"/>
      <c r="F513"/>
      <c r="G513"/>
      <c r="H513"/>
      <c r="I513"/>
      <c r="J513" s="3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</row>
    <row r="514" spans="1:27" s="1" customFormat="1">
      <c r="A514"/>
      <c r="B514"/>
      <c r="C514"/>
      <c r="D514"/>
      <c r="E514"/>
      <c r="F514"/>
      <c r="G514"/>
      <c r="H514"/>
      <c r="I514"/>
      <c r="J514" s="3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</row>
    <row r="515" spans="1:27" s="1" customFormat="1">
      <c r="A515"/>
      <c r="B515"/>
      <c r="C515"/>
      <c r="D515"/>
      <c r="E515"/>
      <c r="F515"/>
      <c r="G515"/>
      <c r="H515"/>
      <c r="I515"/>
      <c r="J515" s="3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</row>
    <row r="516" spans="1:27" s="1" customFormat="1">
      <c r="A516"/>
      <c r="B516"/>
      <c r="C516"/>
      <c r="D516"/>
      <c r="E516"/>
      <c r="F516"/>
      <c r="G516"/>
      <c r="H516"/>
      <c r="I516"/>
      <c r="J516" s="3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</row>
    <row r="517" spans="1:27" s="1" customFormat="1">
      <c r="A517"/>
      <c r="B517"/>
      <c r="C517"/>
      <c r="D517"/>
      <c r="E517"/>
      <c r="F517"/>
      <c r="G517"/>
      <c r="H517"/>
      <c r="I517"/>
      <c r="J517" s="3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</row>
    <row r="518" spans="1:27" s="1" customFormat="1">
      <c r="A518"/>
      <c r="B518"/>
      <c r="C518"/>
      <c r="D518"/>
      <c r="E518"/>
      <c r="F518"/>
      <c r="G518"/>
      <c r="H518"/>
      <c r="I518"/>
      <c r="J518" s="3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</row>
    <row r="519" spans="1:27" s="1" customFormat="1">
      <c r="A519"/>
      <c r="B519"/>
      <c r="C519"/>
      <c r="D519"/>
      <c r="E519"/>
      <c r="F519"/>
      <c r="G519"/>
      <c r="H519"/>
      <c r="I519"/>
      <c r="J519" s="3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</row>
    <row r="520" spans="1:27" s="1" customFormat="1">
      <c r="A520"/>
      <c r="B520"/>
      <c r="C520"/>
      <c r="D520"/>
      <c r="E520"/>
      <c r="F520"/>
      <c r="G520"/>
      <c r="H520"/>
      <c r="I520"/>
      <c r="J520" s="3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</row>
    <row r="521" spans="1:27" s="1" customFormat="1">
      <c r="A521"/>
      <c r="B521"/>
      <c r="C521"/>
      <c r="D521"/>
      <c r="E521"/>
      <c r="F521"/>
      <c r="G521"/>
      <c r="H521"/>
      <c r="I521"/>
      <c r="J521" s="3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</row>
    <row r="522" spans="1:27" s="1" customFormat="1">
      <c r="A522"/>
      <c r="B522"/>
      <c r="C522"/>
      <c r="D522"/>
      <c r="E522"/>
      <c r="F522"/>
      <c r="G522"/>
      <c r="H522"/>
      <c r="I522"/>
      <c r="J522" s="3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</row>
    <row r="523" spans="1:27" s="1" customFormat="1">
      <c r="A523"/>
      <c r="B523"/>
      <c r="C523"/>
      <c r="D523"/>
      <c r="E523"/>
      <c r="F523"/>
      <c r="G523"/>
      <c r="H523"/>
      <c r="I523"/>
      <c r="J523" s="3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</row>
    <row r="524" spans="1:27" s="1" customFormat="1">
      <c r="A524"/>
      <c r="B524"/>
      <c r="C524"/>
      <c r="D524"/>
      <c r="E524"/>
      <c r="F524"/>
      <c r="G524"/>
      <c r="H524"/>
      <c r="I524"/>
      <c r="J524" s="3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</row>
    <row r="525" spans="1:27" s="1" customFormat="1">
      <c r="A525"/>
      <c r="B525"/>
      <c r="C525"/>
      <c r="D525"/>
      <c r="E525"/>
      <c r="F525"/>
      <c r="G525"/>
      <c r="H525"/>
      <c r="I525"/>
      <c r="J525" s="3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</row>
    <row r="526" spans="1:27" s="1" customFormat="1">
      <c r="A526"/>
      <c r="B526"/>
      <c r="C526"/>
      <c r="D526"/>
      <c r="E526"/>
      <c r="F526"/>
      <c r="G526"/>
      <c r="H526"/>
      <c r="I526"/>
      <c r="J526" s="3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</row>
    <row r="527" spans="1:27" s="1" customFormat="1">
      <c r="A527"/>
      <c r="B527"/>
      <c r="C527"/>
      <c r="D527"/>
      <c r="E527"/>
      <c r="F527"/>
      <c r="G527"/>
      <c r="H527"/>
      <c r="I527"/>
      <c r="J527" s="3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</row>
    <row r="528" spans="1:27" s="1" customFormat="1">
      <c r="A528"/>
      <c r="B528"/>
      <c r="C528"/>
      <c r="D528"/>
      <c r="E528"/>
      <c r="F528"/>
      <c r="G528"/>
      <c r="H528"/>
      <c r="I528"/>
      <c r="J528" s="3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</row>
    <row r="529" spans="1:27" s="1" customFormat="1">
      <c r="A529"/>
      <c r="B529"/>
      <c r="C529"/>
      <c r="D529"/>
      <c r="E529"/>
      <c r="F529"/>
      <c r="G529"/>
      <c r="H529"/>
      <c r="I529"/>
      <c r="K529" s="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2"/>
      <c r="Y529" s="2"/>
      <c r="Z529" s="2"/>
      <c r="AA529" s="2"/>
    </row>
    <row r="530" spans="1:27" s="1" customFormat="1">
      <c r="A530"/>
      <c r="B530"/>
      <c r="C530"/>
      <c r="D530"/>
      <c r="E530"/>
      <c r="F530"/>
      <c r="G530"/>
      <c r="H530"/>
      <c r="I530"/>
      <c r="K530" s="2"/>
      <c r="L530" s="14"/>
      <c r="M530" s="14"/>
      <c r="N530" s="14"/>
      <c r="O530" s="12"/>
      <c r="P530" s="12"/>
      <c r="Q530" s="12"/>
      <c r="R530" s="14"/>
      <c r="S530" s="14"/>
      <c r="T530" s="12"/>
      <c r="U530" s="2"/>
      <c r="V530" s="12"/>
      <c r="W530" s="2"/>
      <c r="X530" s="2"/>
      <c r="Y530" s="2"/>
      <c r="Z530" s="2"/>
      <c r="AA530" s="2"/>
    </row>
    <row r="531" spans="1:27" s="1" customFormat="1">
      <c r="A531"/>
      <c r="B531"/>
      <c r="C531"/>
      <c r="D531"/>
      <c r="E531"/>
      <c r="F531"/>
      <c r="G531"/>
      <c r="H531"/>
      <c r="I531"/>
      <c r="K531" s="2"/>
      <c r="L531" s="12"/>
      <c r="M531" s="12"/>
      <c r="N531" s="12"/>
      <c r="O531" s="12"/>
      <c r="P531" s="12"/>
      <c r="Q531" s="12"/>
      <c r="R531" s="12"/>
      <c r="S531" s="12"/>
      <c r="T531" s="12"/>
      <c r="U531" s="13"/>
      <c r="V531" s="13"/>
      <c r="W531" s="12"/>
      <c r="X531" s="2"/>
      <c r="Y531" s="2"/>
      <c r="Z531" s="2"/>
      <c r="AA531" s="2"/>
    </row>
    <row r="532" spans="1:27" s="1" customFormat="1">
      <c r="A532"/>
      <c r="B532"/>
      <c r="C532"/>
      <c r="D532"/>
      <c r="E532"/>
      <c r="F532"/>
      <c r="G532"/>
      <c r="H532"/>
      <c r="I532"/>
      <c r="K532" s="2"/>
      <c r="L532" s="10"/>
      <c r="M532" s="10"/>
      <c r="N532" s="9"/>
      <c r="O532" s="6"/>
      <c r="P532" s="8"/>
      <c r="Q532" s="6"/>
      <c r="R532" s="8"/>
      <c r="S532" s="6"/>
      <c r="T532" s="8"/>
      <c r="U532" s="7"/>
      <c r="V532" s="7"/>
      <c r="W532" s="6"/>
      <c r="X532" s="2"/>
      <c r="Y532" s="2"/>
      <c r="Z532" s="2"/>
      <c r="AA532" s="2"/>
    </row>
    <row r="533" spans="1:27" s="1" customFormat="1">
      <c r="A533"/>
      <c r="B533"/>
      <c r="C533"/>
      <c r="D533"/>
      <c r="E533"/>
      <c r="F533"/>
      <c r="G533"/>
      <c r="H533"/>
      <c r="I533"/>
      <c r="K533" s="11"/>
      <c r="L533" s="10"/>
      <c r="M533" s="10"/>
      <c r="N533" s="9"/>
      <c r="O533" s="6"/>
      <c r="P533" s="8"/>
      <c r="Q533" s="6"/>
      <c r="R533" s="8"/>
      <c r="S533" s="6"/>
      <c r="T533" s="8"/>
      <c r="U533" s="7"/>
      <c r="V533" s="7"/>
      <c r="W533" s="6"/>
      <c r="X533" s="2"/>
      <c r="Y533" s="2"/>
      <c r="Z533" s="2"/>
      <c r="AA533" s="2"/>
    </row>
    <row r="534" spans="1:27" s="1" customFormat="1">
      <c r="A534"/>
      <c r="B534"/>
      <c r="C534"/>
      <c r="D534"/>
      <c r="E534"/>
      <c r="F534"/>
      <c r="G534"/>
      <c r="H534"/>
      <c r="I534"/>
      <c r="K534" s="2"/>
      <c r="L534" s="10"/>
      <c r="M534" s="10"/>
      <c r="N534" s="9"/>
      <c r="O534" s="6"/>
      <c r="P534" s="8"/>
      <c r="Q534" s="6"/>
      <c r="R534" s="8"/>
      <c r="S534" s="6"/>
      <c r="T534" s="8"/>
      <c r="U534" s="7"/>
      <c r="V534" s="7"/>
      <c r="W534" s="6"/>
      <c r="X534" s="2"/>
      <c r="Y534" s="2"/>
      <c r="Z534" s="2"/>
      <c r="AA534" s="2"/>
    </row>
    <row r="535" spans="1:27" s="1" customFormat="1">
      <c r="A535"/>
      <c r="B535"/>
      <c r="C535"/>
      <c r="D535"/>
      <c r="E535"/>
      <c r="F535"/>
      <c r="G535"/>
      <c r="H535"/>
      <c r="I535"/>
      <c r="K535" s="2"/>
      <c r="L535" s="10"/>
      <c r="M535" s="10"/>
      <c r="N535" s="9"/>
      <c r="O535" s="6"/>
      <c r="P535" s="8"/>
      <c r="Q535" s="6"/>
      <c r="R535" s="8"/>
      <c r="S535" s="6"/>
      <c r="T535" s="8"/>
      <c r="U535" s="7"/>
      <c r="V535" s="7"/>
      <c r="W535" s="6"/>
      <c r="X535" s="2"/>
      <c r="Y535" s="2"/>
      <c r="Z535" s="2"/>
      <c r="AA535" s="2"/>
    </row>
    <row r="536" spans="1:27" s="1" customFormat="1">
      <c r="A536"/>
      <c r="B536"/>
      <c r="C536"/>
      <c r="D536"/>
      <c r="E536"/>
      <c r="F536"/>
      <c r="G536"/>
      <c r="H536"/>
      <c r="I536"/>
      <c r="K536" s="2"/>
      <c r="L536" s="2"/>
      <c r="M536" s="2"/>
      <c r="N536" s="2"/>
      <c r="O536" s="6"/>
      <c r="P536" s="8"/>
      <c r="Q536" s="6"/>
      <c r="R536" s="8"/>
      <c r="S536" s="6"/>
      <c r="T536" s="8"/>
      <c r="U536" s="7"/>
      <c r="V536" s="7"/>
      <c r="W536" s="6"/>
      <c r="X536" s="2"/>
      <c r="Y536" s="2"/>
      <c r="Z536" s="2"/>
      <c r="AA536" s="2"/>
    </row>
    <row r="537" spans="1:27" s="1" customFormat="1">
      <c r="A537"/>
      <c r="B537"/>
      <c r="C537"/>
      <c r="D537"/>
      <c r="E537"/>
      <c r="F537"/>
      <c r="G537"/>
      <c r="H537"/>
      <c r="I537"/>
      <c r="K537" s="2"/>
      <c r="L537" s="2"/>
      <c r="M537" s="2"/>
      <c r="N537" s="2"/>
      <c r="O537" s="5"/>
      <c r="P537" s="4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</row>
    <row r="538" spans="1:27" s="1" customFormat="1">
      <c r="A538"/>
      <c r="B538"/>
      <c r="C538"/>
      <c r="D538"/>
      <c r="E538"/>
      <c r="F538"/>
      <c r="G538"/>
      <c r="H538"/>
      <c r="I538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</row>
    <row r="539" spans="1:27" s="1" customFormat="1">
      <c r="A539"/>
      <c r="B539"/>
      <c r="C539"/>
      <c r="D539"/>
      <c r="E539"/>
      <c r="F539"/>
      <c r="G539"/>
      <c r="H539"/>
      <c r="I539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</row>
    <row r="540" spans="1:27" s="1" customFormat="1">
      <c r="A540"/>
      <c r="B540"/>
      <c r="C540"/>
      <c r="D540"/>
      <c r="E540"/>
      <c r="F540"/>
      <c r="G540"/>
      <c r="H540"/>
      <c r="I540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</row>
    <row r="541" spans="1:27" s="1" customFormat="1">
      <c r="A541"/>
      <c r="B541"/>
      <c r="C541"/>
      <c r="D541"/>
      <c r="E541"/>
      <c r="F541"/>
      <c r="G541"/>
      <c r="H541"/>
      <c r="I541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</row>
    <row r="542" spans="1:27" s="1" customFormat="1">
      <c r="A542"/>
      <c r="B542"/>
      <c r="C542"/>
      <c r="D542"/>
      <c r="E542"/>
      <c r="F542"/>
      <c r="G542"/>
      <c r="H542"/>
      <c r="I54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</row>
    <row r="543" spans="1:27" s="1" customFormat="1">
      <c r="A543"/>
      <c r="B543"/>
      <c r="C543"/>
      <c r="D543"/>
      <c r="E543"/>
      <c r="F543"/>
      <c r="G543"/>
      <c r="H543"/>
      <c r="I543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</row>
    <row r="544" spans="1:27" s="1" customFormat="1">
      <c r="A544"/>
      <c r="B544"/>
      <c r="C544"/>
      <c r="D544"/>
      <c r="E544"/>
      <c r="F544"/>
      <c r="G544"/>
      <c r="H544"/>
      <c r="I544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</row>
    <row r="545" spans="1:27" s="1" customFormat="1">
      <c r="A545"/>
      <c r="B545"/>
      <c r="C545"/>
      <c r="D545"/>
      <c r="E545"/>
      <c r="F545"/>
      <c r="G545"/>
      <c r="H545"/>
      <c r="I545"/>
      <c r="J545" s="3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</row>
    <row r="546" spans="1:27" s="1" customFormat="1">
      <c r="A546"/>
      <c r="B546"/>
      <c r="C546"/>
      <c r="D546"/>
      <c r="E546"/>
      <c r="F546"/>
      <c r="G546"/>
      <c r="H546"/>
      <c r="I546"/>
      <c r="J546" s="3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</row>
    <row r="547" spans="1:27" s="1" customFormat="1">
      <c r="A547"/>
      <c r="B547"/>
      <c r="C547"/>
      <c r="D547"/>
      <c r="E547"/>
      <c r="F547"/>
      <c r="G547"/>
      <c r="H547"/>
      <c r="I547"/>
      <c r="J547" s="3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</row>
    <row r="548" spans="1:27" s="1" customFormat="1">
      <c r="A548"/>
      <c r="B548"/>
      <c r="C548"/>
      <c r="D548"/>
      <c r="E548"/>
      <c r="F548"/>
      <c r="G548"/>
      <c r="H548"/>
      <c r="I548"/>
      <c r="J548" s="3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</row>
    <row r="549" spans="1:27" s="1" customFormat="1">
      <c r="A549"/>
      <c r="B549"/>
      <c r="C549"/>
      <c r="D549"/>
      <c r="E549"/>
      <c r="F549"/>
      <c r="G549"/>
      <c r="H549"/>
      <c r="I549"/>
      <c r="J549" s="3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</row>
    <row r="550" spans="1:27" s="1" customFormat="1">
      <c r="A550"/>
      <c r="B550"/>
      <c r="C550"/>
      <c r="D550"/>
      <c r="E550"/>
      <c r="F550"/>
      <c r="G550"/>
      <c r="H550"/>
      <c r="I550"/>
      <c r="J550" s="3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</row>
    <row r="551" spans="1:27" s="1" customFormat="1">
      <c r="A551"/>
      <c r="B551"/>
      <c r="C551"/>
      <c r="D551"/>
      <c r="E551"/>
      <c r="F551"/>
      <c r="G551"/>
      <c r="H551"/>
      <c r="I551"/>
      <c r="J551" s="3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</row>
    <row r="552" spans="1:27" s="1" customFormat="1">
      <c r="A552"/>
      <c r="B552"/>
      <c r="C552"/>
      <c r="D552"/>
      <c r="E552"/>
      <c r="F552"/>
      <c r="G552"/>
      <c r="H552"/>
      <c r="I552"/>
      <c r="J552" s="3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</row>
    <row r="553" spans="1:27" s="1" customFormat="1">
      <c r="A553"/>
      <c r="B553"/>
      <c r="C553"/>
      <c r="D553"/>
      <c r="E553"/>
      <c r="F553"/>
      <c r="G553"/>
      <c r="H553"/>
      <c r="I553"/>
      <c r="J553" s="3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</row>
    <row r="554" spans="1:27" s="1" customFormat="1">
      <c r="A554"/>
      <c r="B554"/>
      <c r="C554"/>
      <c r="D554"/>
      <c r="E554"/>
      <c r="F554"/>
      <c r="G554"/>
      <c r="H554"/>
      <c r="I554"/>
      <c r="J554" s="3"/>
      <c r="K554" s="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2"/>
      <c r="Y554" s="2"/>
      <c r="Z554" s="2"/>
      <c r="AA554" s="2"/>
    </row>
    <row r="555" spans="1:27" s="1" customFormat="1">
      <c r="A555"/>
      <c r="B555"/>
      <c r="C555"/>
      <c r="D555"/>
      <c r="E555"/>
      <c r="F555"/>
      <c r="G555"/>
      <c r="H555"/>
      <c r="I555"/>
      <c r="J555" s="3"/>
      <c r="K555" s="2"/>
      <c r="L555" s="14"/>
      <c r="M555" s="14"/>
      <c r="N555" s="14"/>
      <c r="O555" s="12"/>
      <c r="P555" s="12"/>
      <c r="Q555" s="12"/>
      <c r="R555" s="14"/>
      <c r="S555" s="14"/>
      <c r="T555" s="12"/>
      <c r="U555" s="2"/>
      <c r="V555" s="12"/>
      <c r="W555" s="2"/>
      <c r="X555" s="2"/>
      <c r="Y555" s="2"/>
      <c r="Z555" s="2"/>
      <c r="AA555" s="2"/>
    </row>
    <row r="556" spans="1:27" s="1" customFormat="1">
      <c r="A556"/>
      <c r="B556"/>
      <c r="C556"/>
      <c r="D556"/>
      <c r="E556"/>
      <c r="F556"/>
      <c r="G556"/>
      <c r="H556"/>
      <c r="I556"/>
      <c r="J556" s="3"/>
      <c r="K556" s="2"/>
      <c r="L556" s="12"/>
      <c r="M556" s="12"/>
      <c r="N556" s="12"/>
      <c r="O556" s="12"/>
      <c r="P556" s="12"/>
      <c r="Q556" s="12"/>
      <c r="R556" s="12"/>
      <c r="S556" s="12"/>
      <c r="T556" s="12"/>
      <c r="U556" s="13"/>
      <c r="V556" s="13"/>
      <c r="W556" s="12"/>
      <c r="X556" s="2"/>
      <c r="Y556" s="2"/>
      <c r="Z556" s="2"/>
      <c r="AA556" s="2"/>
    </row>
    <row r="557" spans="1:27" s="1" customFormat="1">
      <c r="A557"/>
      <c r="B557"/>
      <c r="C557"/>
      <c r="D557"/>
      <c r="E557"/>
      <c r="F557"/>
      <c r="G557"/>
      <c r="H557"/>
      <c r="I557"/>
      <c r="J557" s="3"/>
      <c r="K557" s="2"/>
      <c r="L557" s="10"/>
      <c r="M557" s="10"/>
      <c r="N557" s="9"/>
      <c r="O557" s="6"/>
      <c r="P557" s="8"/>
      <c r="Q557" s="6"/>
      <c r="R557" s="8"/>
      <c r="S557" s="6"/>
      <c r="T557" s="8"/>
      <c r="U557" s="7"/>
      <c r="V557" s="7"/>
      <c r="W557" s="6"/>
      <c r="X557" s="2"/>
      <c r="Y557" s="2"/>
      <c r="Z557" s="2"/>
      <c r="AA557" s="2"/>
    </row>
    <row r="558" spans="1:27" s="1" customFormat="1">
      <c r="A558"/>
      <c r="B558"/>
      <c r="C558"/>
      <c r="D558"/>
      <c r="E558"/>
      <c r="F558"/>
      <c r="G558"/>
      <c r="H558"/>
      <c r="I558"/>
      <c r="J558" s="3"/>
      <c r="K558" s="11"/>
      <c r="L558" s="10"/>
      <c r="M558" s="10"/>
      <c r="N558" s="9"/>
      <c r="O558" s="6"/>
      <c r="P558" s="8"/>
      <c r="Q558" s="6"/>
      <c r="R558" s="8"/>
      <c r="S558" s="6"/>
      <c r="T558" s="8"/>
      <c r="U558" s="7"/>
      <c r="V558" s="7"/>
      <c r="W558" s="6"/>
      <c r="X558" s="2"/>
      <c r="Y558" s="2"/>
      <c r="Z558" s="2"/>
      <c r="AA558" s="2"/>
    </row>
    <row r="559" spans="1:27" s="1" customFormat="1">
      <c r="A559"/>
      <c r="B559"/>
      <c r="C559"/>
      <c r="D559"/>
      <c r="E559"/>
      <c r="F559"/>
      <c r="G559"/>
      <c r="H559"/>
      <c r="I559"/>
      <c r="J559" s="3"/>
      <c r="K559" s="2"/>
      <c r="L559" s="10"/>
      <c r="M559" s="10"/>
      <c r="N559" s="9"/>
      <c r="O559" s="6"/>
      <c r="P559" s="8"/>
      <c r="Q559" s="6"/>
      <c r="R559" s="8"/>
      <c r="S559" s="6"/>
      <c r="T559" s="8"/>
      <c r="U559" s="7"/>
      <c r="V559" s="7"/>
      <c r="W559" s="6"/>
      <c r="X559" s="2"/>
      <c r="Y559" s="2"/>
      <c r="Z559" s="2"/>
      <c r="AA559" s="2"/>
    </row>
    <row r="560" spans="1:27" s="1" customFormat="1">
      <c r="A560"/>
      <c r="B560"/>
      <c r="C560"/>
      <c r="D560"/>
      <c r="E560"/>
      <c r="F560"/>
      <c r="G560"/>
      <c r="H560"/>
      <c r="I560"/>
      <c r="J560" s="3"/>
      <c r="K560" s="2"/>
      <c r="L560" s="10"/>
      <c r="M560" s="10"/>
      <c r="N560" s="9"/>
      <c r="O560" s="6"/>
      <c r="P560" s="8"/>
      <c r="Q560" s="6"/>
      <c r="R560" s="8"/>
      <c r="S560" s="6"/>
      <c r="T560" s="8"/>
      <c r="U560" s="7"/>
      <c r="V560" s="7"/>
      <c r="W560" s="6"/>
      <c r="X560" s="2"/>
      <c r="Y560" s="2"/>
      <c r="Z560" s="2"/>
      <c r="AA560" s="2"/>
    </row>
    <row r="561" spans="1:27" s="1" customFormat="1">
      <c r="A561"/>
      <c r="B561"/>
      <c r="C561"/>
      <c r="D561"/>
      <c r="E561"/>
      <c r="F561"/>
      <c r="G561"/>
      <c r="H561"/>
      <c r="I561"/>
      <c r="J561" s="3"/>
      <c r="K561" s="2"/>
      <c r="L561" s="2"/>
      <c r="M561" s="2"/>
      <c r="N561" s="2"/>
      <c r="O561" s="6"/>
      <c r="P561" s="8"/>
      <c r="Q561" s="6"/>
      <c r="R561" s="8"/>
      <c r="S561" s="6"/>
      <c r="T561" s="8"/>
      <c r="U561" s="7"/>
      <c r="V561" s="7"/>
      <c r="W561" s="6"/>
      <c r="X561" s="2"/>
      <c r="Y561" s="2"/>
      <c r="Z561" s="2"/>
      <c r="AA561" s="2"/>
    </row>
    <row r="562" spans="1:27" s="1" customFormat="1">
      <c r="A562"/>
      <c r="B562"/>
      <c r="C562"/>
      <c r="D562"/>
      <c r="E562"/>
      <c r="F562"/>
      <c r="G562"/>
      <c r="H562"/>
      <c r="I562"/>
      <c r="J562" s="3"/>
      <c r="K562" s="2"/>
      <c r="L562" s="2"/>
      <c r="M562" s="2"/>
      <c r="N562" s="2"/>
      <c r="O562" s="5"/>
      <c r="P562" s="4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</row>
    <row r="563" spans="1:27" s="1" customFormat="1">
      <c r="A563"/>
      <c r="B563"/>
      <c r="C563"/>
      <c r="D563"/>
      <c r="E563"/>
      <c r="F563"/>
      <c r="G563"/>
      <c r="H563"/>
      <c r="I563"/>
      <c r="J563" s="3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</row>
    <row r="564" spans="1:27" s="1" customFormat="1">
      <c r="A564"/>
      <c r="B564"/>
      <c r="C564"/>
      <c r="D564"/>
      <c r="E564"/>
      <c r="F564"/>
      <c r="G564"/>
      <c r="H564"/>
      <c r="I564"/>
      <c r="J564" s="3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</row>
    <row r="565" spans="1:27" s="1" customFormat="1">
      <c r="A565"/>
      <c r="B565"/>
      <c r="C565"/>
      <c r="D565"/>
      <c r="E565"/>
      <c r="F565"/>
      <c r="G565"/>
      <c r="H565"/>
      <c r="I565"/>
      <c r="J565" s="3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</row>
    <row r="566" spans="1:27" s="1" customFormat="1">
      <c r="A566"/>
      <c r="B566"/>
      <c r="C566"/>
      <c r="D566"/>
      <c r="E566"/>
      <c r="F566"/>
      <c r="G566"/>
      <c r="H566"/>
      <c r="I566"/>
      <c r="J566" s="3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</row>
    <row r="567" spans="1:27" s="1" customFormat="1">
      <c r="A567"/>
      <c r="B567"/>
      <c r="C567"/>
      <c r="D567"/>
      <c r="E567"/>
      <c r="F567"/>
      <c r="G567"/>
      <c r="H567"/>
      <c r="I567"/>
      <c r="J567" s="3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</row>
    <row r="568" spans="1:27" s="1" customFormat="1">
      <c r="A568"/>
      <c r="B568"/>
      <c r="C568"/>
      <c r="D568"/>
      <c r="E568"/>
      <c r="F568"/>
      <c r="G568"/>
      <c r="H568"/>
      <c r="I568"/>
      <c r="J568" s="3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</row>
    <row r="569" spans="1:27" s="1" customFormat="1">
      <c r="A569"/>
      <c r="B569"/>
      <c r="C569"/>
      <c r="D569"/>
      <c r="E569"/>
      <c r="F569"/>
      <c r="G569"/>
      <c r="H569"/>
      <c r="I569"/>
      <c r="J569" s="3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</row>
    <row r="570" spans="1:27" s="1" customFormat="1">
      <c r="A570"/>
      <c r="B570"/>
      <c r="C570"/>
      <c r="D570"/>
      <c r="E570"/>
      <c r="F570"/>
      <c r="G570"/>
      <c r="H570"/>
      <c r="I570"/>
      <c r="J570" s="3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</row>
    <row r="571" spans="1:27" s="1" customFormat="1">
      <c r="A571"/>
      <c r="B571"/>
      <c r="C571"/>
      <c r="D571"/>
      <c r="E571"/>
      <c r="F571"/>
      <c r="G571"/>
      <c r="H571"/>
      <c r="I571"/>
      <c r="J571" s="3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</row>
    <row r="572" spans="1:27" s="1" customFormat="1">
      <c r="A572"/>
      <c r="B572"/>
      <c r="C572"/>
      <c r="D572"/>
      <c r="E572"/>
      <c r="F572"/>
      <c r="G572"/>
      <c r="H572"/>
      <c r="I572"/>
      <c r="J572" s="3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</row>
    <row r="573" spans="1:27" s="1" customFormat="1">
      <c r="A573"/>
      <c r="B573"/>
      <c r="C573"/>
      <c r="D573"/>
      <c r="E573"/>
      <c r="F573"/>
      <c r="G573"/>
      <c r="H573"/>
      <c r="I573"/>
      <c r="J573" s="3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</row>
    <row r="574" spans="1:27" s="1" customFormat="1">
      <c r="A574"/>
      <c r="B574"/>
      <c r="C574"/>
      <c r="D574"/>
      <c r="E574"/>
      <c r="F574"/>
      <c r="G574"/>
      <c r="H574"/>
      <c r="I574"/>
      <c r="J574" s="3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</row>
    <row r="575" spans="1:27" s="1" customFormat="1">
      <c r="A575"/>
      <c r="B575"/>
      <c r="C575"/>
      <c r="D575"/>
      <c r="E575"/>
      <c r="F575"/>
      <c r="G575"/>
      <c r="H575"/>
      <c r="I575"/>
      <c r="J575" s="3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</row>
    <row r="576" spans="1:27" s="1" customFormat="1">
      <c r="A576"/>
      <c r="B576"/>
      <c r="C576"/>
      <c r="D576"/>
      <c r="E576"/>
      <c r="F576"/>
      <c r="G576"/>
      <c r="H576"/>
      <c r="I576"/>
      <c r="J576" s="3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</row>
    <row r="577" spans="1:27" s="1" customFormat="1">
      <c r="A577"/>
      <c r="B577"/>
      <c r="C577"/>
      <c r="D577"/>
      <c r="E577"/>
      <c r="F577"/>
      <c r="G577"/>
      <c r="H577"/>
      <c r="I577"/>
      <c r="J577" s="3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</row>
    <row r="578" spans="1:27" s="1" customFormat="1">
      <c r="A578"/>
      <c r="B578"/>
      <c r="C578"/>
      <c r="D578"/>
      <c r="E578"/>
      <c r="F578"/>
      <c r="G578"/>
      <c r="H578"/>
      <c r="I578"/>
      <c r="J578" s="3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</row>
    <row r="579" spans="1:27" s="1" customFormat="1">
      <c r="A579"/>
      <c r="B579"/>
      <c r="C579"/>
      <c r="D579"/>
      <c r="E579"/>
      <c r="F579"/>
      <c r="G579"/>
      <c r="H579"/>
      <c r="I579"/>
      <c r="J579" s="3"/>
      <c r="K579" s="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2"/>
      <c r="Y579" s="2"/>
      <c r="Z579" s="2"/>
      <c r="AA579" s="2"/>
    </row>
    <row r="580" spans="1:27" s="1" customFormat="1">
      <c r="A580"/>
      <c r="B580"/>
      <c r="C580"/>
      <c r="D580"/>
      <c r="E580"/>
      <c r="F580"/>
      <c r="G580"/>
      <c r="H580"/>
      <c r="I580"/>
      <c r="J580" s="3"/>
      <c r="K580" s="2"/>
      <c r="L580" s="14"/>
      <c r="M580" s="14"/>
      <c r="N580" s="14"/>
      <c r="O580" s="12"/>
      <c r="P580" s="12"/>
      <c r="Q580" s="12"/>
      <c r="R580" s="14"/>
      <c r="S580" s="14"/>
      <c r="T580" s="12"/>
      <c r="U580" s="2"/>
      <c r="V580" s="12"/>
      <c r="W580" s="2"/>
      <c r="X580" s="2"/>
      <c r="Y580" s="2"/>
      <c r="Z580" s="2"/>
      <c r="AA580" s="2"/>
    </row>
    <row r="581" spans="1:27" s="1" customFormat="1">
      <c r="A581"/>
      <c r="B581"/>
      <c r="C581"/>
      <c r="D581"/>
      <c r="E581"/>
      <c r="F581"/>
      <c r="G581"/>
      <c r="H581"/>
      <c r="I581"/>
      <c r="J581" s="3"/>
      <c r="K581" s="2"/>
      <c r="L581" s="12"/>
      <c r="M581" s="12"/>
      <c r="N581" s="12"/>
      <c r="O581" s="12"/>
      <c r="P581" s="12"/>
      <c r="Q581" s="12"/>
      <c r="R581" s="12"/>
      <c r="S581" s="12"/>
      <c r="T581" s="12"/>
      <c r="U581" s="13"/>
      <c r="V581" s="13"/>
      <c r="W581" s="12"/>
      <c r="X581" s="2"/>
      <c r="Y581" s="2"/>
      <c r="Z581" s="2"/>
      <c r="AA581" s="2"/>
    </row>
    <row r="582" spans="1:27" s="1" customFormat="1">
      <c r="A582"/>
      <c r="B582"/>
      <c r="C582"/>
      <c r="D582"/>
      <c r="E582"/>
      <c r="F582"/>
      <c r="G582"/>
      <c r="H582"/>
      <c r="I582"/>
      <c r="J582" s="3"/>
      <c r="K582" s="2"/>
      <c r="L582" s="10"/>
      <c r="M582" s="10"/>
      <c r="N582" s="9"/>
      <c r="O582" s="6"/>
      <c r="P582" s="8"/>
      <c r="Q582" s="6"/>
      <c r="R582" s="8"/>
      <c r="S582" s="6"/>
      <c r="T582" s="8"/>
      <c r="U582" s="7"/>
      <c r="V582" s="7"/>
      <c r="W582" s="6"/>
      <c r="X582" s="2"/>
      <c r="Y582" s="2"/>
      <c r="Z582" s="2"/>
      <c r="AA582" s="2"/>
    </row>
    <row r="583" spans="1:27" s="1" customFormat="1">
      <c r="A583"/>
      <c r="B583"/>
      <c r="C583"/>
      <c r="D583"/>
      <c r="E583"/>
      <c r="F583"/>
      <c r="G583"/>
      <c r="H583"/>
      <c r="I583"/>
      <c r="J583" s="3"/>
      <c r="K583" s="11"/>
      <c r="L583" s="10"/>
      <c r="M583" s="10"/>
      <c r="N583" s="9"/>
      <c r="O583" s="6"/>
      <c r="P583" s="8"/>
      <c r="Q583" s="6"/>
      <c r="R583" s="8"/>
      <c r="S583" s="6"/>
      <c r="T583" s="8"/>
      <c r="U583" s="7"/>
      <c r="V583" s="7"/>
      <c r="W583" s="6"/>
      <c r="X583" s="2"/>
      <c r="Y583" s="2"/>
      <c r="Z583" s="2"/>
      <c r="AA583" s="2"/>
    </row>
    <row r="584" spans="1:27" s="1" customFormat="1">
      <c r="A584"/>
      <c r="B584"/>
      <c r="C584"/>
      <c r="D584"/>
      <c r="E584"/>
      <c r="F584"/>
      <c r="G584"/>
      <c r="H584"/>
      <c r="I584"/>
      <c r="J584" s="3"/>
      <c r="K584" s="2"/>
      <c r="L584" s="10"/>
      <c r="M584" s="10"/>
      <c r="N584" s="9"/>
      <c r="O584" s="6"/>
      <c r="P584" s="8"/>
      <c r="Q584" s="6"/>
      <c r="R584" s="8"/>
      <c r="S584" s="6"/>
      <c r="T584" s="8"/>
      <c r="U584" s="7"/>
      <c r="V584" s="7"/>
      <c r="W584" s="6"/>
      <c r="X584" s="2"/>
      <c r="Y584" s="2"/>
      <c r="Z584" s="2"/>
      <c r="AA584" s="2"/>
    </row>
    <row r="585" spans="1:27" s="1" customFormat="1">
      <c r="A585"/>
      <c r="B585"/>
      <c r="C585"/>
      <c r="D585"/>
      <c r="E585"/>
      <c r="F585"/>
      <c r="G585"/>
      <c r="H585"/>
      <c r="I585"/>
      <c r="J585" s="3"/>
      <c r="K585" s="2"/>
      <c r="L585" s="10"/>
      <c r="M585" s="10"/>
      <c r="N585" s="9"/>
      <c r="O585" s="6"/>
      <c r="P585" s="8"/>
      <c r="Q585" s="6"/>
      <c r="R585" s="8"/>
      <c r="S585" s="6"/>
      <c r="T585" s="8"/>
      <c r="U585" s="7"/>
      <c r="V585" s="7"/>
      <c r="W585" s="6"/>
      <c r="X585" s="2"/>
      <c r="Y585" s="2"/>
      <c r="Z585" s="2"/>
      <c r="AA585" s="2"/>
    </row>
    <row r="586" spans="1:27" s="1" customFormat="1">
      <c r="A586"/>
      <c r="B586"/>
      <c r="C586"/>
      <c r="D586"/>
      <c r="E586"/>
      <c r="F586"/>
      <c r="G586"/>
      <c r="H586"/>
      <c r="I586"/>
      <c r="J586" s="3"/>
      <c r="K586" s="2"/>
      <c r="L586" s="2"/>
      <c r="M586" s="2"/>
      <c r="N586" s="2"/>
      <c r="O586" s="6"/>
      <c r="P586" s="8"/>
      <c r="Q586" s="6"/>
      <c r="R586" s="8"/>
      <c r="S586" s="6"/>
      <c r="T586" s="8"/>
      <c r="U586" s="7"/>
      <c r="V586" s="7"/>
      <c r="W586" s="6"/>
      <c r="X586" s="2"/>
      <c r="Y586" s="2"/>
      <c r="Z586" s="2"/>
      <c r="AA586" s="2"/>
    </row>
    <row r="587" spans="1:27" s="1" customFormat="1">
      <c r="A587"/>
      <c r="B587"/>
      <c r="C587"/>
      <c r="D587"/>
      <c r="E587"/>
      <c r="F587"/>
      <c r="G587"/>
      <c r="H587"/>
      <c r="I587"/>
      <c r="J587" s="3"/>
      <c r="K587" s="2"/>
      <c r="L587" s="2"/>
      <c r="M587" s="2"/>
      <c r="N587" s="2"/>
      <c r="O587" s="5"/>
      <c r="P587" s="4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</row>
    <row r="588" spans="1:27" s="1" customFormat="1">
      <c r="A588"/>
      <c r="B588"/>
      <c r="C588"/>
      <c r="D588"/>
      <c r="E588"/>
      <c r="F588"/>
      <c r="G588"/>
      <c r="H588"/>
      <c r="I588"/>
      <c r="J588" s="3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</row>
    <row r="589" spans="1:27" s="1" customFormat="1">
      <c r="A589"/>
      <c r="B589"/>
      <c r="C589"/>
      <c r="D589"/>
      <c r="E589"/>
      <c r="F589"/>
      <c r="G589"/>
      <c r="H589"/>
      <c r="I589"/>
      <c r="J589" s="3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</row>
    <row r="590" spans="1:27" s="1" customFormat="1">
      <c r="A590"/>
      <c r="B590"/>
      <c r="C590"/>
      <c r="D590"/>
      <c r="E590"/>
      <c r="F590"/>
      <c r="G590"/>
      <c r="H590"/>
      <c r="I590"/>
      <c r="J590" s="3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</row>
    <row r="591" spans="1:27" s="1" customFormat="1">
      <c r="A591"/>
      <c r="B591"/>
      <c r="C591"/>
      <c r="D591"/>
      <c r="E591"/>
      <c r="F591"/>
      <c r="G591"/>
      <c r="H591"/>
      <c r="I591"/>
      <c r="J591" s="3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</row>
    <row r="592" spans="1:27" s="1" customFormat="1">
      <c r="A592"/>
      <c r="B592"/>
      <c r="C592"/>
      <c r="D592"/>
      <c r="E592"/>
      <c r="F592"/>
      <c r="G592"/>
      <c r="H592"/>
      <c r="I592"/>
      <c r="J592" s="3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</row>
    <row r="593" spans="1:27" s="1" customFormat="1">
      <c r="A593"/>
      <c r="B593"/>
      <c r="C593"/>
      <c r="D593"/>
      <c r="E593"/>
      <c r="F593"/>
      <c r="G593"/>
      <c r="H593"/>
      <c r="I593"/>
      <c r="J593" s="3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</row>
    <row r="594" spans="1:27" s="1" customFormat="1">
      <c r="A594"/>
      <c r="B594"/>
      <c r="C594"/>
      <c r="D594"/>
      <c r="E594"/>
      <c r="F594"/>
      <c r="G594"/>
      <c r="H594"/>
      <c r="I594"/>
      <c r="J594" s="3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</row>
    <row r="595" spans="1:27" s="1" customFormat="1">
      <c r="A595"/>
      <c r="B595"/>
      <c r="C595"/>
      <c r="D595"/>
      <c r="E595"/>
      <c r="F595"/>
      <c r="G595"/>
      <c r="H595"/>
      <c r="I595"/>
      <c r="J595" s="3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</row>
    <row r="596" spans="1:27" s="1" customFormat="1">
      <c r="A596"/>
      <c r="B596"/>
      <c r="C596"/>
      <c r="D596"/>
      <c r="E596"/>
      <c r="F596"/>
      <c r="G596"/>
      <c r="H596"/>
      <c r="I596"/>
      <c r="J596" s="3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</row>
    <row r="597" spans="1:27" s="1" customFormat="1">
      <c r="A597"/>
      <c r="B597"/>
      <c r="C597"/>
      <c r="D597"/>
      <c r="E597"/>
      <c r="F597"/>
      <c r="G597"/>
      <c r="H597"/>
      <c r="I597"/>
      <c r="J597" s="3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</row>
    <row r="598" spans="1:27" s="1" customFormat="1">
      <c r="A598"/>
      <c r="B598"/>
      <c r="C598"/>
      <c r="D598"/>
      <c r="E598"/>
      <c r="F598"/>
      <c r="G598"/>
      <c r="H598"/>
      <c r="I598"/>
      <c r="J598" s="3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</row>
    <row r="599" spans="1:27" s="1" customFormat="1">
      <c r="A599"/>
      <c r="B599"/>
      <c r="C599"/>
      <c r="D599"/>
      <c r="E599"/>
      <c r="F599"/>
      <c r="G599"/>
      <c r="H599"/>
      <c r="I599"/>
      <c r="J599" s="3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</row>
    <row r="600" spans="1:27" s="1" customFormat="1">
      <c r="A600"/>
      <c r="B600"/>
      <c r="C600"/>
      <c r="D600"/>
      <c r="E600"/>
      <c r="F600"/>
      <c r="G600"/>
      <c r="H600"/>
      <c r="I600"/>
      <c r="J600" s="3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</row>
    <row r="601" spans="1:27" s="1" customFormat="1">
      <c r="A601"/>
      <c r="B601"/>
      <c r="C601"/>
      <c r="D601"/>
      <c r="E601"/>
      <c r="F601"/>
      <c r="G601"/>
      <c r="H601"/>
      <c r="I601"/>
      <c r="J601" s="3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</row>
    <row r="602" spans="1:27" s="1" customFormat="1">
      <c r="A602"/>
      <c r="B602"/>
      <c r="C602"/>
      <c r="D602"/>
      <c r="E602"/>
      <c r="F602"/>
      <c r="G602"/>
      <c r="H602"/>
      <c r="I602"/>
      <c r="J602" s="3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</row>
    <row r="603" spans="1:27" s="1" customFormat="1">
      <c r="A603"/>
      <c r="B603"/>
      <c r="C603"/>
      <c r="D603"/>
      <c r="E603"/>
      <c r="F603"/>
      <c r="G603"/>
      <c r="H603"/>
      <c r="I603"/>
      <c r="J603" s="3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</row>
    <row r="604" spans="1:27" s="1" customFormat="1">
      <c r="A604"/>
      <c r="B604"/>
      <c r="C604"/>
      <c r="D604"/>
      <c r="E604"/>
      <c r="F604"/>
      <c r="G604"/>
      <c r="H604"/>
      <c r="I604"/>
      <c r="J604" s="3"/>
      <c r="K604" s="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2"/>
      <c r="Y604" s="2"/>
      <c r="Z604" s="2"/>
      <c r="AA604" s="2"/>
    </row>
    <row r="605" spans="1:27" s="1" customFormat="1">
      <c r="A605"/>
      <c r="B605"/>
      <c r="C605"/>
      <c r="D605"/>
      <c r="E605"/>
      <c r="F605"/>
      <c r="G605"/>
      <c r="H605"/>
      <c r="I605"/>
      <c r="J605" s="3"/>
      <c r="K605" s="2"/>
      <c r="L605" s="14"/>
      <c r="M605" s="14"/>
      <c r="N605" s="14"/>
      <c r="O605" s="12"/>
      <c r="P605" s="12"/>
      <c r="Q605" s="12"/>
      <c r="R605" s="14"/>
      <c r="S605" s="14"/>
      <c r="T605" s="12"/>
      <c r="U605" s="2"/>
      <c r="V605" s="12"/>
      <c r="W605" s="2"/>
      <c r="X605" s="2"/>
      <c r="Y605" s="2"/>
      <c r="Z605" s="2"/>
      <c r="AA605" s="2"/>
    </row>
    <row r="606" spans="1:27" s="1" customFormat="1">
      <c r="A606"/>
      <c r="B606"/>
      <c r="C606"/>
      <c r="D606"/>
      <c r="E606"/>
      <c r="F606"/>
      <c r="G606"/>
      <c r="H606"/>
      <c r="I606"/>
      <c r="J606" s="3"/>
      <c r="K606" s="2"/>
      <c r="L606" s="12"/>
      <c r="M606" s="12"/>
      <c r="N606" s="12"/>
      <c r="O606" s="12"/>
      <c r="P606" s="12"/>
      <c r="Q606" s="12"/>
      <c r="R606" s="12"/>
      <c r="S606" s="12"/>
      <c r="T606" s="12"/>
      <c r="U606" s="13"/>
      <c r="V606" s="13"/>
      <c r="W606" s="12"/>
      <c r="X606" s="2"/>
      <c r="Y606" s="2"/>
      <c r="Z606" s="2"/>
      <c r="AA606" s="2"/>
    </row>
    <row r="607" spans="1:27" s="1" customFormat="1">
      <c r="A607"/>
      <c r="B607"/>
      <c r="C607"/>
      <c r="D607"/>
      <c r="E607"/>
      <c r="F607"/>
      <c r="G607"/>
      <c r="H607"/>
      <c r="I607"/>
      <c r="J607" s="3"/>
      <c r="K607" s="2"/>
      <c r="L607" s="10"/>
      <c r="M607" s="10"/>
      <c r="N607" s="9"/>
      <c r="O607" s="6"/>
      <c r="P607" s="8"/>
      <c r="Q607" s="6"/>
      <c r="R607" s="8"/>
      <c r="S607" s="6"/>
      <c r="T607" s="8"/>
      <c r="U607" s="7"/>
      <c r="V607" s="7"/>
      <c r="W607" s="6"/>
      <c r="X607" s="2"/>
      <c r="Y607" s="2"/>
      <c r="Z607" s="2"/>
      <c r="AA607" s="2"/>
    </row>
    <row r="608" spans="1:27" s="1" customFormat="1">
      <c r="A608"/>
      <c r="B608"/>
      <c r="C608"/>
      <c r="D608"/>
      <c r="E608"/>
      <c r="F608"/>
      <c r="G608"/>
      <c r="H608"/>
      <c r="I608"/>
      <c r="J608" s="3"/>
      <c r="K608" s="11"/>
      <c r="L608" s="10"/>
      <c r="M608" s="10"/>
      <c r="N608" s="9"/>
      <c r="O608" s="6"/>
      <c r="P608" s="8"/>
      <c r="Q608" s="6"/>
      <c r="R608" s="8"/>
      <c r="S608" s="6"/>
      <c r="T608" s="8"/>
      <c r="U608" s="7"/>
      <c r="V608" s="7"/>
      <c r="W608" s="6"/>
      <c r="X608" s="2"/>
      <c r="Y608" s="2"/>
      <c r="Z608" s="2"/>
      <c r="AA608" s="2"/>
    </row>
    <row r="609" spans="1:27" s="1" customFormat="1">
      <c r="A609"/>
      <c r="B609"/>
      <c r="C609"/>
      <c r="D609"/>
      <c r="E609"/>
      <c r="F609"/>
      <c r="G609"/>
      <c r="H609"/>
      <c r="I609"/>
      <c r="K609" s="2"/>
      <c r="L609" s="10"/>
      <c r="M609" s="10"/>
      <c r="N609" s="9"/>
      <c r="O609" s="6"/>
      <c r="P609" s="8"/>
      <c r="Q609" s="6"/>
      <c r="R609" s="8"/>
      <c r="S609" s="6"/>
      <c r="T609" s="8"/>
      <c r="U609" s="7"/>
      <c r="V609" s="7"/>
      <c r="W609" s="6"/>
      <c r="X609" s="2"/>
      <c r="Y609" s="2"/>
      <c r="Z609" s="2"/>
      <c r="AA609" s="2"/>
    </row>
    <row r="610" spans="1:27" s="1" customFormat="1">
      <c r="A610"/>
      <c r="B610"/>
      <c r="C610"/>
      <c r="D610"/>
      <c r="E610"/>
      <c r="F610"/>
      <c r="G610"/>
      <c r="H610"/>
      <c r="I610"/>
      <c r="K610" s="2"/>
      <c r="L610" s="10"/>
      <c r="M610" s="10"/>
      <c r="N610" s="9"/>
      <c r="O610" s="6"/>
      <c r="P610" s="8"/>
      <c r="Q610" s="6"/>
      <c r="R610" s="8"/>
      <c r="S610" s="6"/>
      <c r="T610" s="8"/>
      <c r="U610" s="7"/>
      <c r="V610" s="7"/>
      <c r="W610" s="6"/>
      <c r="X610" s="2"/>
      <c r="Y610" s="2"/>
      <c r="Z610" s="2"/>
      <c r="AA610" s="2"/>
    </row>
    <row r="611" spans="1:27" s="1" customFormat="1">
      <c r="A611"/>
      <c r="B611"/>
      <c r="C611"/>
      <c r="D611"/>
      <c r="E611"/>
      <c r="F611"/>
      <c r="G611"/>
      <c r="H611"/>
      <c r="I611"/>
      <c r="K611" s="2"/>
      <c r="L611" s="2"/>
      <c r="M611" s="2"/>
      <c r="N611" s="2"/>
      <c r="O611" s="6"/>
      <c r="P611" s="8"/>
      <c r="Q611" s="6"/>
      <c r="R611" s="8"/>
      <c r="S611" s="6"/>
      <c r="T611" s="8"/>
      <c r="U611" s="7"/>
      <c r="V611" s="7"/>
      <c r="W611" s="6"/>
      <c r="X611" s="2"/>
      <c r="Y611" s="2"/>
      <c r="Z611" s="2"/>
      <c r="AA611" s="2"/>
    </row>
    <row r="612" spans="1:27" s="1" customFormat="1">
      <c r="A612"/>
      <c r="B612"/>
      <c r="C612"/>
      <c r="D612"/>
      <c r="E612"/>
      <c r="F612"/>
      <c r="G612"/>
      <c r="H612"/>
      <c r="I612"/>
      <c r="K612" s="2"/>
      <c r="L612" s="2"/>
      <c r="M612" s="2"/>
      <c r="N612" s="2"/>
      <c r="O612" s="5"/>
      <c r="P612" s="4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</row>
    <row r="613" spans="1:27" s="1" customFormat="1">
      <c r="A613"/>
      <c r="B613"/>
      <c r="C613"/>
      <c r="D613"/>
      <c r="E613"/>
      <c r="F613"/>
      <c r="G613"/>
      <c r="H613"/>
      <c r="I613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</row>
    <row r="614" spans="1:27" s="1" customFormat="1">
      <c r="A614"/>
      <c r="B614"/>
      <c r="C614"/>
      <c r="D614"/>
      <c r="E614"/>
      <c r="F614"/>
      <c r="G614"/>
      <c r="H614"/>
      <c r="I614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</row>
    <row r="615" spans="1:27" s="1" customFormat="1">
      <c r="A615"/>
      <c r="B615"/>
      <c r="C615"/>
      <c r="D615"/>
      <c r="E615"/>
      <c r="F615"/>
      <c r="G615"/>
      <c r="H615"/>
      <c r="I615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</row>
    <row r="616" spans="1:27" s="1" customFormat="1">
      <c r="A616"/>
      <c r="B616"/>
      <c r="C616"/>
      <c r="D616"/>
      <c r="E616"/>
      <c r="F616"/>
      <c r="G616"/>
      <c r="H616"/>
      <c r="I616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</row>
    <row r="617" spans="1:27" s="1" customFormat="1">
      <c r="A617"/>
      <c r="B617"/>
      <c r="C617"/>
      <c r="D617"/>
      <c r="E617"/>
      <c r="F617"/>
      <c r="G617"/>
      <c r="H617"/>
      <c r="I617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</row>
    <row r="618" spans="1:27" s="1" customFormat="1">
      <c r="A618"/>
      <c r="B618"/>
      <c r="C618"/>
      <c r="D618"/>
      <c r="E618"/>
      <c r="F618"/>
      <c r="G618"/>
      <c r="H618"/>
      <c r="I618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</row>
    <row r="619" spans="1:27" s="1" customFormat="1">
      <c r="A619"/>
      <c r="B619"/>
      <c r="C619"/>
      <c r="D619"/>
      <c r="E619"/>
      <c r="F619"/>
      <c r="G619"/>
      <c r="H619"/>
      <c r="I619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</row>
    <row r="620" spans="1:27" s="1" customFormat="1">
      <c r="A620"/>
      <c r="B620"/>
      <c r="C620"/>
      <c r="D620"/>
      <c r="E620"/>
      <c r="F620"/>
      <c r="G620"/>
      <c r="H620"/>
      <c r="I620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</row>
    <row r="621" spans="1:27" s="1" customFormat="1">
      <c r="A621"/>
      <c r="B621"/>
      <c r="C621"/>
      <c r="D621"/>
      <c r="E621"/>
      <c r="F621"/>
      <c r="G621"/>
      <c r="H621"/>
      <c r="I621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</row>
    <row r="622" spans="1:27" s="1" customFormat="1">
      <c r="A622"/>
      <c r="B622"/>
      <c r="C622"/>
      <c r="D622"/>
      <c r="E622"/>
      <c r="F622"/>
      <c r="G622"/>
      <c r="H622"/>
      <c r="I62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</row>
    <row r="623" spans="1:27" s="1" customFormat="1">
      <c r="A623"/>
      <c r="B623"/>
      <c r="C623"/>
      <c r="D623"/>
      <c r="E623"/>
      <c r="F623"/>
      <c r="G623"/>
      <c r="H623"/>
      <c r="I623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</row>
    <row r="624" spans="1:27" s="1" customFormat="1">
      <c r="A624"/>
      <c r="B624"/>
      <c r="C624"/>
      <c r="D624"/>
      <c r="E624"/>
      <c r="F624"/>
      <c r="G624"/>
      <c r="H624"/>
      <c r="I624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</row>
    <row r="625" spans="1:27" s="1" customFormat="1">
      <c r="A625"/>
      <c r="B625"/>
      <c r="C625"/>
      <c r="D625"/>
      <c r="E625"/>
      <c r="F625"/>
      <c r="G625"/>
      <c r="H625"/>
      <c r="I625"/>
      <c r="J625" s="3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</row>
    <row r="626" spans="1:27" s="1" customFormat="1">
      <c r="A626"/>
      <c r="B626"/>
      <c r="C626"/>
      <c r="D626"/>
      <c r="E626"/>
      <c r="F626"/>
      <c r="G626"/>
      <c r="H626"/>
      <c r="I626"/>
      <c r="J626" s="3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</row>
    <row r="627" spans="1:27" s="1" customFormat="1">
      <c r="A627"/>
      <c r="B627"/>
      <c r="C627"/>
      <c r="D627"/>
      <c r="E627"/>
      <c r="F627"/>
      <c r="G627"/>
      <c r="H627"/>
      <c r="I627"/>
      <c r="J627" s="3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</row>
    <row r="628" spans="1:27" s="1" customFormat="1">
      <c r="A628"/>
      <c r="B628"/>
      <c r="C628"/>
      <c r="D628"/>
      <c r="E628"/>
      <c r="F628"/>
      <c r="G628"/>
      <c r="H628"/>
      <c r="I628"/>
      <c r="J628" s="3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</row>
    <row r="629" spans="1:27" s="1" customFormat="1">
      <c r="A629"/>
      <c r="B629"/>
      <c r="C629"/>
      <c r="D629"/>
      <c r="E629"/>
      <c r="F629"/>
      <c r="G629"/>
      <c r="H629"/>
      <c r="I629"/>
      <c r="J629" s="3"/>
      <c r="K629" s="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2"/>
      <c r="Y629" s="2"/>
      <c r="Z629" s="2"/>
      <c r="AA629" s="2"/>
    </row>
    <row r="630" spans="1:27" s="1" customFormat="1">
      <c r="A630"/>
      <c r="B630"/>
      <c r="C630"/>
      <c r="D630"/>
      <c r="E630"/>
      <c r="F630"/>
      <c r="G630"/>
      <c r="H630"/>
      <c r="I630"/>
      <c r="J630" s="3"/>
      <c r="K630" s="2"/>
      <c r="L630" s="14"/>
      <c r="M630" s="14"/>
      <c r="N630" s="14"/>
      <c r="O630" s="12"/>
      <c r="P630" s="12"/>
      <c r="Q630" s="12"/>
      <c r="R630" s="14"/>
      <c r="S630" s="14"/>
      <c r="T630" s="12"/>
      <c r="U630" s="2"/>
      <c r="V630" s="12"/>
      <c r="W630" s="2"/>
      <c r="X630" s="2"/>
      <c r="Y630" s="2"/>
      <c r="Z630" s="2"/>
      <c r="AA630" s="2"/>
    </row>
    <row r="631" spans="1:27" s="1" customFormat="1">
      <c r="A631"/>
      <c r="B631"/>
      <c r="C631"/>
      <c r="D631"/>
      <c r="E631"/>
      <c r="F631"/>
      <c r="G631"/>
      <c r="H631"/>
      <c r="I631"/>
      <c r="J631" s="3"/>
      <c r="K631" s="2"/>
      <c r="L631" s="12"/>
      <c r="M631" s="12"/>
      <c r="N631" s="12"/>
      <c r="O631" s="12"/>
      <c r="P631" s="12"/>
      <c r="Q631" s="12"/>
      <c r="R631" s="12"/>
      <c r="S631" s="12"/>
      <c r="T631" s="12"/>
      <c r="U631" s="13"/>
      <c r="V631" s="13"/>
      <c r="W631" s="12"/>
      <c r="X631" s="2"/>
      <c r="Y631" s="2"/>
      <c r="Z631" s="2"/>
      <c r="AA631" s="2"/>
    </row>
    <row r="632" spans="1:27" s="1" customFormat="1">
      <c r="A632"/>
      <c r="B632"/>
      <c r="C632"/>
      <c r="D632"/>
      <c r="E632"/>
      <c r="F632"/>
      <c r="G632"/>
      <c r="H632"/>
      <c r="I632"/>
      <c r="J632" s="3"/>
      <c r="K632" s="2"/>
      <c r="L632" s="10"/>
      <c r="M632" s="10"/>
      <c r="N632" s="9"/>
      <c r="O632" s="6"/>
      <c r="P632" s="8"/>
      <c r="Q632" s="6"/>
      <c r="R632" s="8"/>
      <c r="S632" s="6"/>
      <c r="T632" s="8"/>
      <c r="U632" s="7"/>
      <c r="V632" s="7"/>
      <c r="W632" s="6"/>
      <c r="X632" s="2"/>
      <c r="Y632" s="2"/>
      <c r="Z632" s="2"/>
      <c r="AA632" s="2"/>
    </row>
    <row r="633" spans="1:27" s="1" customFormat="1">
      <c r="A633"/>
      <c r="B633"/>
      <c r="C633"/>
      <c r="D633"/>
      <c r="E633"/>
      <c r="F633"/>
      <c r="G633"/>
      <c r="H633"/>
      <c r="I633"/>
      <c r="J633" s="3"/>
      <c r="K633" s="11"/>
      <c r="L633" s="10"/>
      <c r="M633" s="10"/>
      <c r="N633" s="9"/>
      <c r="O633" s="6"/>
      <c r="P633" s="8"/>
      <c r="Q633" s="6"/>
      <c r="R633" s="8"/>
      <c r="S633" s="6"/>
      <c r="T633" s="8"/>
      <c r="U633" s="7"/>
      <c r="V633" s="7"/>
      <c r="W633" s="6"/>
      <c r="X633" s="2"/>
      <c r="Y633" s="2"/>
      <c r="Z633" s="2"/>
      <c r="AA633" s="2"/>
    </row>
    <row r="634" spans="1:27" s="1" customFormat="1">
      <c r="A634"/>
      <c r="B634"/>
      <c r="C634"/>
      <c r="D634"/>
      <c r="E634"/>
      <c r="F634"/>
      <c r="G634"/>
      <c r="H634"/>
      <c r="I634"/>
      <c r="J634" s="3"/>
      <c r="K634" s="2"/>
      <c r="L634" s="10"/>
      <c r="M634" s="10"/>
      <c r="N634" s="9"/>
      <c r="O634" s="6"/>
      <c r="P634" s="8"/>
      <c r="Q634" s="6"/>
      <c r="R634" s="8"/>
      <c r="S634" s="6"/>
      <c r="T634" s="8"/>
      <c r="U634" s="7"/>
      <c r="V634" s="7"/>
      <c r="W634" s="6"/>
      <c r="X634" s="2"/>
      <c r="Y634" s="2"/>
      <c r="Z634" s="2"/>
      <c r="AA634" s="2"/>
    </row>
    <row r="635" spans="1:27" s="1" customFormat="1">
      <c r="A635"/>
      <c r="B635"/>
      <c r="C635"/>
      <c r="D635"/>
      <c r="E635"/>
      <c r="F635"/>
      <c r="G635"/>
      <c r="H635"/>
      <c r="I635"/>
      <c r="J635" s="3"/>
      <c r="K635" s="2"/>
      <c r="L635" s="10"/>
      <c r="M635" s="10"/>
      <c r="N635" s="9"/>
      <c r="O635" s="6"/>
      <c r="P635" s="8"/>
      <c r="Q635" s="6"/>
      <c r="R635" s="8"/>
      <c r="S635" s="6"/>
      <c r="T635" s="8"/>
      <c r="U635" s="7"/>
      <c r="V635" s="7"/>
      <c r="W635" s="6"/>
      <c r="X635" s="2"/>
      <c r="Y635" s="2"/>
      <c r="Z635" s="2"/>
      <c r="AA635" s="2"/>
    </row>
    <row r="636" spans="1:27" s="1" customFormat="1">
      <c r="A636"/>
      <c r="B636"/>
      <c r="C636"/>
      <c r="D636"/>
      <c r="E636"/>
      <c r="F636"/>
      <c r="G636"/>
      <c r="H636"/>
      <c r="I636"/>
      <c r="J636" s="3"/>
      <c r="K636" s="2"/>
      <c r="L636" s="2"/>
      <c r="M636" s="2"/>
      <c r="N636" s="2"/>
      <c r="O636" s="6"/>
      <c r="P636" s="8"/>
      <c r="Q636" s="6"/>
      <c r="R636" s="8"/>
      <c r="S636" s="6"/>
      <c r="T636" s="8"/>
      <c r="U636" s="7"/>
      <c r="V636" s="7"/>
      <c r="W636" s="6"/>
      <c r="X636" s="2"/>
      <c r="Y636" s="2"/>
      <c r="Z636" s="2"/>
      <c r="AA636" s="2"/>
    </row>
    <row r="637" spans="1:27" s="1" customFormat="1">
      <c r="A637"/>
      <c r="B637"/>
      <c r="C637"/>
      <c r="D637"/>
      <c r="E637"/>
      <c r="F637"/>
      <c r="G637"/>
      <c r="H637"/>
      <c r="I637"/>
      <c r="J637" s="3"/>
      <c r="K637" s="2"/>
      <c r="L637" s="2"/>
      <c r="M637" s="2"/>
      <c r="N637" s="2"/>
      <c r="O637" s="5"/>
      <c r="P637" s="4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</row>
    <row r="638" spans="1:27" s="1" customFormat="1">
      <c r="A638"/>
      <c r="B638"/>
      <c r="C638"/>
      <c r="D638"/>
      <c r="E638"/>
      <c r="F638"/>
      <c r="G638"/>
      <c r="H638"/>
      <c r="I638"/>
      <c r="J638" s="3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</row>
    <row r="639" spans="1:27" s="1" customFormat="1">
      <c r="A639"/>
      <c r="B639"/>
      <c r="C639"/>
      <c r="D639"/>
      <c r="E639"/>
      <c r="F639"/>
      <c r="G639"/>
      <c r="H639"/>
      <c r="I639"/>
      <c r="J639" s="3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</row>
    <row r="640" spans="1:27" s="1" customFormat="1">
      <c r="A640"/>
      <c r="B640"/>
      <c r="C640"/>
      <c r="D640"/>
      <c r="E640"/>
      <c r="F640"/>
      <c r="G640"/>
      <c r="H640"/>
      <c r="I640"/>
      <c r="J640" s="3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</row>
    <row r="641" spans="1:27" s="1" customFormat="1">
      <c r="A641"/>
      <c r="B641"/>
      <c r="C641"/>
      <c r="D641"/>
      <c r="E641"/>
      <c r="F641"/>
      <c r="G641"/>
      <c r="H641"/>
      <c r="I641"/>
      <c r="J641" s="3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</row>
    <row r="642" spans="1:27" s="1" customFormat="1">
      <c r="A642"/>
      <c r="B642"/>
      <c r="C642"/>
      <c r="D642"/>
      <c r="E642"/>
      <c r="F642"/>
      <c r="G642"/>
      <c r="H642"/>
      <c r="I642"/>
      <c r="J642" s="3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</row>
    <row r="643" spans="1:27" s="1" customFormat="1">
      <c r="A643"/>
      <c r="B643"/>
      <c r="C643"/>
      <c r="D643"/>
      <c r="E643"/>
      <c r="F643"/>
      <c r="G643"/>
      <c r="H643"/>
      <c r="I643"/>
      <c r="J643" s="3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</row>
    <row r="644" spans="1:27" s="1" customFormat="1">
      <c r="A644"/>
      <c r="B644"/>
      <c r="C644"/>
      <c r="D644"/>
      <c r="E644"/>
      <c r="F644"/>
      <c r="G644"/>
      <c r="H644"/>
      <c r="I644"/>
      <c r="J644" s="3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</row>
    <row r="645" spans="1:27" s="1" customFormat="1">
      <c r="A645"/>
      <c r="B645"/>
      <c r="C645"/>
      <c r="D645"/>
      <c r="E645"/>
      <c r="F645"/>
      <c r="G645"/>
      <c r="H645"/>
      <c r="I645"/>
      <c r="J645" s="3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</row>
    <row r="646" spans="1:27" s="1" customFormat="1">
      <c r="A646"/>
      <c r="B646"/>
      <c r="C646"/>
      <c r="D646"/>
      <c r="E646"/>
      <c r="F646"/>
      <c r="G646"/>
      <c r="H646"/>
      <c r="I646"/>
      <c r="J646" s="3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</row>
    <row r="647" spans="1:27" s="1" customFormat="1">
      <c r="A647"/>
      <c r="B647"/>
      <c r="C647"/>
      <c r="D647"/>
      <c r="E647"/>
      <c r="F647"/>
      <c r="G647"/>
      <c r="H647"/>
      <c r="I647"/>
      <c r="J647" s="3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</row>
    <row r="648" spans="1:27" s="1" customFormat="1">
      <c r="A648"/>
      <c r="B648"/>
      <c r="C648"/>
      <c r="D648"/>
      <c r="E648"/>
      <c r="F648"/>
      <c r="G648"/>
      <c r="H648"/>
      <c r="I648"/>
      <c r="J648" s="3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</row>
    <row r="649" spans="1:27" s="1" customFormat="1">
      <c r="A649"/>
      <c r="B649"/>
      <c r="C649"/>
      <c r="D649"/>
      <c r="E649"/>
      <c r="F649"/>
      <c r="G649"/>
      <c r="H649"/>
      <c r="I649"/>
      <c r="J649" s="3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</row>
    <row r="650" spans="1:27" s="1" customFormat="1">
      <c r="A650"/>
      <c r="B650"/>
      <c r="C650"/>
      <c r="D650"/>
      <c r="E650"/>
      <c r="F650"/>
      <c r="G650"/>
      <c r="H650"/>
      <c r="I650"/>
      <c r="J650" s="3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</row>
    <row r="651" spans="1:27" s="1" customFormat="1">
      <c r="A651"/>
      <c r="B651"/>
      <c r="C651"/>
      <c r="D651"/>
      <c r="E651"/>
      <c r="F651"/>
      <c r="G651"/>
      <c r="H651"/>
      <c r="I651"/>
      <c r="J651" s="3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</row>
    <row r="652" spans="1:27" s="1" customFormat="1">
      <c r="A652"/>
      <c r="B652"/>
      <c r="C652"/>
      <c r="D652"/>
      <c r="E652"/>
      <c r="F652"/>
      <c r="G652"/>
      <c r="H652"/>
      <c r="I652"/>
      <c r="J652" s="3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</row>
    <row r="653" spans="1:27" s="1" customFormat="1">
      <c r="A653"/>
      <c r="B653"/>
      <c r="C653"/>
      <c r="D653"/>
      <c r="E653"/>
      <c r="F653"/>
      <c r="G653"/>
      <c r="H653"/>
      <c r="I653"/>
      <c r="J653" s="3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</row>
    <row r="654" spans="1:27" s="1" customFormat="1">
      <c r="A654"/>
      <c r="B654"/>
      <c r="C654"/>
      <c r="D654"/>
      <c r="E654"/>
      <c r="F654"/>
      <c r="G654"/>
      <c r="H654"/>
      <c r="I654"/>
      <c r="J654" s="3"/>
      <c r="K654" s="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2"/>
      <c r="Y654" s="2"/>
      <c r="Z654" s="2"/>
      <c r="AA654" s="2"/>
    </row>
    <row r="655" spans="1:27" s="1" customFormat="1">
      <c r="A655"/>
      <c r="B655"/>
      <c r="C655"/>
      <c r="D655"/>
      <c r="E655"/>
      <c r="F655"/>
      <c r="G655"/>
      <c r="H655"/>
      <c r="I655"/>
      <c r="J655" s="3"/>
      <c r="K655" s="2"/>
      <c r="L655" s="14"/>
      <c r="M655" s="14"/>
      <c r="N655" s="14"/>
      <c r="O655" s="12"/>
      <c r="P655" s="12"/>
      <c r="Q655" s="12"/>
      <c r="R655" s="14"/>
      <c r="S655" s="14"/>
      <c r="T655" s="12"/>
      <c r="U655" s="2"/>
      <c r="V655" s="12"/>
      <c r="W655" s="2"/>
      <c r="X655" s="2"/>
      <c r="Y655" s="2"/>
      <c r="Z655" s="2"/>
      <c r="AA655" s="2"/>
    </row>
    <row r="656" spans="1:27" s="1" customFormat="1">
      <c r="A656"/>
      <c r="B656"/>
      <c r="C656"/>
      <c r="D656"/>
      <c r="E656"/>
      <c r="F656"/>
      <c r="G656"/>
      <c r="H656"/>
      <c r="I656"/>
      <c r="J656" s="3"/>
      <c r="K656" s="2"/>
      <c r="L656" s="12"/>
      <c r="M656" s="12"/>
      <c r="N656" s="12"/>
      <c r="O656" s="12"/>
      <c r="P656" s="12"/>
      <c r="Q656" s="12"/>
      <c r="R656" s="12"/>
      <c r="S656" s="12"/>
      <c r="T656" s="12"/>
      <c r="U656" s="13"/>
      <c r="V656" s="13"/>
      <c r="W656" s="12"/>
      <c r="X656" s="2"/>
      <c r="Y656" s="2"/>
      <c r="Z656" s="2"/>
      <c r="AA656" s="2"/>
    </row>
    <row r="657" spans="1:27" s="1" customFormat="1">
      <c r="A657"/>
      <c r="B657"/>
      <c r="C657"/>
      <c r="D657"/>
      <c r="E657"/>
      <c r="F657"/>
      <c r="G657"/>
      <c r="H657"/>
      <c r="I657"/>
      <c r="K657" s="2"/>
      <c r="L657" s="10"/>
      <c r="M657" s="10"/>
      <c r="N657" s="9"/>
      <c r="O657" s="6"/>
      <c r="P657" s="8"/>
      <c r="Q657" s="6"/>
      <c r="R657" s="8"/>
      <c r="S657" s="6"/>
      <c r="T657" s="8"/>
      <c r="U657" s="7"/>
      <c r="V657" s="7"/>
      <c r="W657" s="6"/>
      <c r="X657" s="2"/>
      <c r="Y657" s="2"/>
      <c r="Z657" s="2"/>
      <c r="AA657" s="2"/>
    </row>
    <row r="658" spans="1:27" s="1" customFormat="1">
      <c r="A658"/>
      <c r="B658"/>
      <c r="C658"/>
      <c r="D658"/>
      <c r="E658"/>
      <c r="F658"/>
      <c r="G658"/>
      <c r="H658"/>
      <c r="I658"/>
      <c r="K658" s="11"/>
      <c r="L658" s="10"/>
      <c r="M658" s="10"/>
      <c r="N658" s="9"/>
      <c r="O658" s="6"/>
      <c r="P658" s="8"/>
      <c r="Q658" s="6"/>
      <c r="R658" s="8"/>
      <c r="S658" s="6"/>
      <c r="T658" s="8"/>
      <c r="U658" s="7"/>
      <c r="V658" s="7"/>
      <c r="W658" s="6"/>
      <c r="X658" s="2"/>
      <c r="Y658" s="2"/>
      <c r="Z658" s="2"/>
      <c r="AA658" s="2"/>
    </row>
    <row r="659" spans="1:27" s="1" customFormat="1">
      <c r="A659"/>
      <c r="B659"/>
      <c r="C659"/>
      <c r="D659"/>
      <c r="E659"/>
      <c r="F659"/>
      <c r="G659"/>
      <c r="H659"/>
      <c r="I659"/>
      <c r="K659" s="2"/>
      <c r="L659" s="10"/>
      <c r="M659" s="10"/>
      <c r="N659" s="9"/>
      <c r="O659" s="6"/>
      <c r="P659" s="8"/>
      <c r="Q659" s="6"/>
      <c r="R659" s="8"/>
      <c r="S659" s="6"/>
      <c r="T659" s="8"/>
      <c r="U659" s="7"/>
      <c r="V659" s="7"/>
      <c r="W659" s="6"/>
      <c r="X659" s="2"/>
      <c r="Y659" s="2"/>
      <c r="Z659" s="2"/>
      <c r="AA659" s="2"/>
    </row>
    <row r="660" spans="1:27" s="1" customFormat="1">
      <c r="A660"/>
      <c r="B660"/>
      <c r="C660"/>
      <c r="D660"/>
      <c r="E660"/>
      <c r="F660"/>
      <c r="G660"/>
      <c r="H660"/>
      <c r="I660"/>
      <c r="K660" s="2"/>
      <c r="L660" s="10"/>
      <c r="M660" s="10"/>
      <c r="N660" s="9"/>
      <c r="O660" s="6"/>
      <c r="P660" s="8"/>
      <c r="Q660" s="6"/>
      <c r="R660" s="8"/>
      <c r="S660" s="6"/>
      <c r="T660" s="8"/>
      <c r="U660" s="7"/>
      <c r="V660" s="7"/>
      <c r="W660" s="6"/>
      <c r="X660" s="2"/>
      <c r="Y660" s="2"/>
      <c r="Z660" s="2"/>
      <c r="AA660" s="2"/>
    </row>
    <row r="661" spans="1:27" s="1" customFormat="1">
      <c r="A661"/>
      <c r="B661"/>
      <c r="C661"/>
      <c r="D661"/>
      <c r="E661"/>
      <c r="F661"/>
      <c r="G661"/>
      <c r="H661"/>
      <c r="I661"/>
      <c r="K661" s="2"/>
      <c r="L661" s="2"/>
      <c r="M661" s="2"/>
      <c r="N661" s="2"/>
      <c r="O661" s="6"/>
      <c r="P661" s="8"/>
      <c r="Q661" s="6"/>
      <c r="R661" s="8"/>
      <c r="S661" s="6"/>
      <c r="T661" s="8"/>
      <c r="U661" s="7"/>
      <c r="V661" s="7"/>
      <c r="W661" s="6"/>
      <c r="X661" s="2"/>
      <c r="Y661" s="2"/>
      <c r="Z661" s="2"/>
      <c r="AA661" s="2"/>
    </row>
    <row r="662" spans="1:27" s="1" customFormat="1">
      <c r="A662"/>
      <c r="B662"/>
      <c r="C662"/>
      <c r="D662"/>
      <c r="E662"/>
      <c r="F662"/>
      <c r="G662"/>
      <c r="H662"/>
      <c r="I662"/>
      <c r="K662" s="2"/>
      <c r="L662" s="2"/>
      <c r="M662" s="2"/>
      <c r="N662" s="2"/>
      <c r="O662" s="5"/>
      <c r="P662" s="4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</row>
    <row r="663" spans="1:27" s="1" customFormat="1">
      <c r="A663"/>
      <c r="B663"/>
      <c r="C663"/>
      <c r="D663"/>
      <c r="E663"/>
      <c r="F663"/>
      <c r="G663"/>
      <c r="H663"/>
      <c r="I663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</row>
    <row r="664" spans="1:27" s="1" customFormat="1">
      <c r="A664"/>
      <c r="B664"/>
      <c r="C664"/>
      <c r="D664"/>
      <c r="E664"/>
      <c r="F664"/>
      <c r="G664"/>
      <c r="H664"/>
      <c r="I664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</row>
    <row r="665" spans="1:27" s="1" customFormat="1">
      <c r="A665"/>
      <c r="B665"/>
      <c r="C665"/>
      <c r="D665"/>
      <c r="E665"/>
      <c r="F665"/>
      <c r="G665"/>
      <c r="H665"/>
      <c r="I665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</row>
    <row r="666" spans="1:27" s="1" customFormat="1">
      <c r="A666"/>
      <c r="B666"/>
      <c r="C666"/>
      <c r="D666"/>
      <c r="E666"/>
      <c r="F666"/>
      <c r="G666"/>
      <c r="H666"/>
      <c r="I666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</row>
    <row r="667" spans="1:27" s="1" customFormat="1">
      <c r="A667"/>
      <c r="B667"/>
      <c r="C667"/>
      <c r="D667"/>
      <c r="E667"/>
      <c r="F667"/>
      <c r="G667"/>
      <c r="H667"/>
      <c r="I667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</row>
    <row r="668" spans="1:27" s="1" customFormat="1">
      <c r="A668"/>
      <c r="B668"/>
      <c r="C668"/>
      <c r="D668"/>
      <c r="E668"/>
      <c r="F668"/>
      <c r="G668"/>
      <c r="H668"/>
      <c r="I668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</row>
    <row r="669" spans="1:27" s="1" customFormat="1">
      <c r="A669"/>
      <c r="B669"/>
      <c r="C669"/>
      <c r="D669"/>
      <c r="E669"/>
      <c r="F669"/>
      <c r="G669"/>
      <c r="H669"/>
      <c r="I669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</row>
    <row r="670" spans="1:27" s="1" customFormat="1">
      <c r="A670"/>
      <c r="B670"/>
      <c r="C670"/>
      <c r="D670"/>
      <c r="E670"/>
      <c r="F670"/>
      <c r="G670"/>
      <c r="H670"/>
      <c r="I670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</row>
    <row r="671" spans="1:27" s="1" customFormat="1">
      <c r="A671"/>
      <c r="B671"/>
      <c r="C671"/>
      <c r="D671"/>
      <c r="E671"/>
      <c r="F671"/>
      <c r="G671"/>
      <c r="H671"/>
      <c r="I671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</row>
    <row r="672" spans="1:27" s="1" customFormat="1">
      <c r="A672"/>
      <c r="B672"/>
      <c r="C672"/>
      <c r="D672"/>
      <c r="E672"/>
      <c r="F672"/>
      <c r="G672"/>
      <c r="H672"/>
      <c r="I67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</row>
    <row r="673" spans="1:27" s="1" customFormat="1">
      <c r="A673"/>
      <c r="B673"/>
      <c r="C673"/>
      <c r="D673"/>
      <c r="E673"/>
      <c r="F673"/>
      <c r="G673"/>
      <c r="H673"/>
      <c r="I673"/>
      <c r="J673" s="3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</row>
    <row r="674" spans="1:27" s="1" customFormat="1">
      <c r="A674"/>
      <c r="B674"/>
      <c r="C674"/>
      <c r="D674"/>
      <c r="E674"/>
      <c r="F674"/>
      <c r="G674"/>
      <c r="H674"/>
      <c r="I674"/>
      <c r="J674" s="3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</row>
    <row r="675" spans="1:27" s="1" customFormat="1">
      <c r="A675"/>
      <c r="B675"/>
      <c r="C675"/>
      <c r="D675"/>
      <c r="E675"/>
      <c r="F675"/>
      <c r="G675"/>
      <c r="H675"/>
      <c r="I675"/>
      <c r="J675" s="3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</row>
    <row r="676" spans="1:27" s="1" customFormat="1">
      <c r="A676"/>
      <c r="B676"/>
      <c r="C676"/>
      <c r="D676"/>
      <c r="E676"/>
      <c r="F676"/>
      <c r="G676"/>
      <c r="H676"/>
      <c r="I676"/>
      <c r="J676" s="3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</row>
    <row r="677" spans="1:27" s="1" customFormat="1">
      <c r="A677"/>
      <c r="B677"/>
      <c r="C677"/>
      <c r="D677"/>
      <c r="E677"/>
      <c r="F677"/>
      <c r="G677"/>
      <c r="H677"/>
      <c r="I677"/>
      <c r="J677" s="3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</row>
    <row r="678" spans="1:27" s="1" customFormat="1">
      <c r="A678"/>
      <c r="B678"/>
      <c r="C678"/>
      <c r="D678"/>
      <c r="E678"/>
      <c r="F678"/>
      <c r="G678"/>
      <c r="H678"/>
      <c r="I678"/>
      <c r="J678" s="3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</row>
    <row r="679" spans="1:27" s="1" customFormat="1">
      <c r="A679"/>
      <c r="B679"/>
      <c r="C679"/>
      <c r="D679"/>
      <c r="E679"/>
      <c r="F679"/>
      <c r="G679"/>
      <c r="H679"/>
      <c r="I679"/>
      <c r="J679" s="3"/>
      <c r="K679" s="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2"/>
      <c r="Y679" s="2"/>
      <c r="Z679" s="2"/>
      <c r="AA679" s="2"/>
    </row>
    <row r="680" spans="1:27" s="1" customFormat="1">
      <c r="A680"/>
      <c r="B680"/>
      <c r="C680"/>
      <c r="D680"/>
      <c r="E680"/>
      <c r="F680"/>
      <c r="G680"/>
      <c r="H680"/>
      <c r="I680"/>
      <c r="J680" s="3"/>
      <c r="K680" s="2"/>
      <c r="L680" s="14"/>
      <c r="M680" s="14"/>
      <c r="N680" s="14"/>
      <c r="O680" s="12"/>
      <c r="P680" s="12"/>
      <c r="Q680" s="12"/>
      <c r="R680" s="14"/>
      <c r="S680" s="14"/>
      <c r="T680" s="12"/>
      <c r="U680" s="2"/>
      <c r="V680" s="12"/>
      <c r="W680" s="2"/>
      <c r="X680" s="2"/>
      <c r="Y680" s="2"/>
      <c r="Z680" s="2"/>
      <c r="AA680" s="2"/>
    </row>
    <row r="681" spans="1:27" s="1" customFormat="1">
      <c r="A681"/>
      <c r="B681"/>
      <c r="C681"/>
      <c r="D681"/>
      <c r="E681"/>
      <c r="F681"/>
      <c r="G681"/>
      <c r="H681"/>
      <c r="I681"/>
      <c r="J681" s="3"/>
      <c r="K681" s="2"/>
      <c r="L681" s="12"/>
      <c r="M681" s="12"/>
      <c r="N681" s="12"/>
      <c r="O681" s="12"/>
      <c r="P681" s="12"/>
      <c r="Q681" s="12"/>
      <c r="R681" s="12"/>
      <c r="S681" s="12"/>
      <c r="T681" s="12"/>
      <c r="U681" s="13"/>
      <c r="V681" s="13"/>
      <c r="W681" s="12"/>
      <c r="X681" s="2"/>
      <c r="Y681" s="2"/>
      <c r="Z681" s="2"/>
      <c r="AA681" s="2"/>
    </row>
    <row r="682" spans="1:27" s="1" customFormat="1">
      <c r="A682"/>
      <c r="B682"/>
      <c r="C682"/>
      <c r="D682"/>
      <c r="E682"/>
      <c r="F682"/>
      <c r="G682"/>
      <c r="H682"/>
      <c r="I682"/>
      <c r="J682" s="3"/>
      <c r="K682" s="2"/>
      <c r="L682" s="10"/>
      <c r="M682" s="10"/>
      <c r="N682" s="9"/>
      <c r="O682" s="6"/>
      <c r="P682" s="8"/>
      <c r="Q682" s="6"/>
      <c r="R682" s="8"/>
      <c r="S682" s="6"/>
      <c r="T682" s="8"/>
      <c r="U682" s="7"/>
      <c r="V682" s="7"/>
      <c r="W682" s="6"/>
      <c r="X682" s="2"/>
      <c r="Y682" s="2"/>
      <c r="Z682" s="2"/>
      <c r="AA682" s="2"/>
    </row>
    <row r="683" spans="1:27" s="1" customFormat="1">
      <c r="A683"/>
      <c r="B683"/>
      <c r="C683"/>
      <c r="D683"/>
      <c r="E683"/>
      <c r="F683"/>
      <c r="G683"/>
      <c r="H683"/>
      <c r="I683"/>
      <c r="J683" s="3"/>
      <c r="K683" s="11"/>
      <c r="L683" s="10"/>
      <c r="M683" s="10"/>
      <c r="N683" s="9"/>
      <c r="O683" s="6"/>
      <c r="P683" s="8"/>
      <c r="Q683" s="6"/>
      <c r="R683" s="8"/>
      <c r="S683" s="6"/>
      <c r="T683" s="8"/>
      <c r="U683" s="7"/>
      <c r="V683" s="7"/>
      <c r="W683" s="6"/>
      <c r="X683" s="2"/>
      <c r="Y683" s="2"/>
      <c r="Z683" s="2"/>
      <c r="AA683" s="2"/>
    </row>
    <row r="684" spans="1:27" s="1" customFormat="1">
      <c r="A684"/>
      <c r="B684"/>
      <c r="C684"/>
      <c r="D684"/>
      <c r="E684"/>
      <c r="F684"/>
      <c r="G684"/>
      <c r="H684"/>
      <c r="I684"/>
      <c r="J684" s="3"/>
      <c r="K684" s="2"/>
      <c r="L684" s="10"/>
      <c r="M684" s="10"/>
      <c r="N684" s="9"/>
      <c r="O684" s="6"/>
      <c r="P684" s="8"/>
      <c r="Q684" s="6"/>
      <c r="R684" s="8"/>
      <c r="S684" s="6"/>
      <c r="T684" s="8"/>
      <c r="U684" s="7"/>
      <c r="V684" s="7"/>
      <c r="W684" s="6"/>
      <c r="X684" s="2"/>
      <c r="Y684" s="2"/>
      <c r="Z684" s="2"/>
      <c r="AA684" s="2"/>
    </row>
    <row r="685" spans="1:27" s="1" customFormat="1">
      <c r="A685"/>
      <c r="B685"/>
      <c r="C685"/>
      <c r="D685"/>
      <c r="E685"/>
      <c r="F685"/>
      <c r="G685"/>
      <c r="H685"/>
      <c r="I685"/>
      <c r="J685" s="3"/>
      <c r="K685" s="2"/>
      <c r="L685" s="10"/>
      <c r="M685" s="10"/>
      <c r="N685" s="9"/>
      <c r="O685" s="6"/>
      <c r="P685" s="8"/>
      <c r="Q685" s="6"/>
      <c r="R685" s="8"/>
      <c r="S685" s="6"/>
      <c r="T685" s="8"/>
      <c r="U685" s="7"/>
      <c r="V685" s="7"/>
      <c r="W685" s="6"/>
      <c r="X685" s="2"/>
      <c r="Y685" s="2"/>
      <c r="Z685" s="2"/>
      <c r="AA685" s="2"/>
    </row>
    <row r="686" spans="1:27" s="1" customFormat="1">
      <c r="A686"/>
      <c r="B686"/>
      <c r="C686"/>
      <c r="D686"/>
      <c r="E686"/>
      <c r="F686"/>
      <c r="G686"/>
      <c r="H686"/>
      <c r="I686"/>
      <c r="J686" s="3"/>
      <c r="K686" s="2"/>
      <c r="L686" s="2"/>
      <c r="M686" s="2"/>
      <c r="N686" s="2"/>
      <c r="O686" s="6"/>
      <c r="P686" s="8"/>
      <c r="Q686" s="6"/>
      <c r="R686" s="8"/>
      <c r="S686" s="6"/>
      <c r="T686" s="8"/>
      <c r="U686" s="7"/>
      <c r="V686" s="7"/>
      <c r="W686" s="6"/>
      <c r="X686" s="2"/>
      <c r="Y686" s="2"/>
      <c r="Z686" s="2"/>
      <c r="AA686" s="2"/>
    </row>
    <row r="687" spans="1:27" s="1" customFormat="1">
      <c r="A687"/>
      <c r="B687"/>
      <c r="C687"/>
      <c r="D687"/>
      <c r="E687"/>
      <c r="F687"/>
      <c r="G687"/>
      <c r="H687"/>
      <c r="I687"/>
      <c r="J687" s="3"/>
      <c r="K687" s="2"/>
      <c r="L687" s="2"/>
      <c r="M687" s="2"/>
      <c r="N687" s="2"/>
      <c r="O687" s="5"/>
      <c r="P687" s="4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</row>
    <row r="688" spans="1:27" s="1" customFormat="1">
      <c r="A688"/>
      <c r="B688"/>
      <c r="C688"/>
      <c r="D688"/>
      <c r="E688"/>
      <c r="F688"/>
      <c r="G688"/>
      <c r="H688"/>
      <c r="I688"/>
      <c r="J688" s="3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</row>
    <row r="689" spans="1:27" s="1" customFormat="1">
      <c r="A689"/>
      <c r="B689"/>
      <c r="C689"/>
      <c r="D689"/>
      <c r="E689"/>
      <c r="F689"/>
      <c r="G689"/>
      <c r="H689"/>
      <c r="I689"/>
      <c r="J689" s="3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</row>
    <row r="690" spans="1:27" s="1" customFormat="1">
      <c r="A690"/>
      <c r="B690"/>
      <c r="C690"/>
      <c r="D690"/>
      <c r="E690"/>
      <c r="F690"/>
      <c r="G690"/>
      <c r="H690"/>
      <c r="I690"/>
      <c r="J690" s="3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</row>
    <row r="691" spans="1:27" s="1" customFormat="1">
      <c r="A691"/>
      <c r="B691"/>
      <c r="C691"/>
      <c r="D691"/>
      <c r="E691"/>
      <c r="F691"/>
      <c r="G691"/>
      <c r="H691"/>
      <c r="I691"/>
      <c r="J691" s="3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</row>
    <row r="692" spans="1:27" s="1" customFormat="1">
      <c r="A692"/>
      <c r="B692"/>
      <c r="C692"/>
      <c r="D692"/>
      <c r="E692"/>
      <c r="F692"/>
      <c r="G692"/>
      <c r="H692"/>
      <c r="I692"/>
      <c r="J692" s="3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</row>
    <row r="693" spans="1:27" s="1" customFormat="1">
      <c r="A693"/>
      <c r="B693"/>
      <c r="C693"/>
      <c r="D693"/>
      <c r="E693"/>
      <c r="F693"/>
      <c r="G693"/>
      <c r="H693"/>
      <c r="I693"/>
      <c r="J693" s="3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</row>
    <row r="694" spans="1:27" s="1" customFormat="1">
      <c r="A694"/>
      <c r="B694"/>
      <c r="C694"/>
      <c r="D694"/>
      <c r="E694"/>
      <c r="F694"/>
      <c r="G694"/>
      <c r="H694"/>
      <c r="I694"/>
      <c r="J694" s="3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</row>
    <row r="695" spans="1:27" s="1" customFormat="1">
      <c r="A695"/>
      <c r="B695"/>
      <c r="C695"/>
      <c r="D695"/>
      <c r="E695"/>
      <c r="F695"/>
      <c r="G695"/>
      <c r="H695"/>
      <c r="I695"/>
      <c r="J695" s="3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</row>
    <row r="696" spans="1:27" s="1" customFormat="1">
      <c r="A696"/>
      <c r="B696"/>
      <c r="C696"/>
      <c r="D696"/>
      <c r="E696"/>
      <c r="F696"/>
      <c r="G696"/>
      <c r="H696"/>
      <c r="I696"/>
      <c r="J696" s="3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</row>
    <row r="697" spans="1:27" s="1" customFormat="1">
      <c r="A697"/>
      <c r="B697"/>
      <c r="C697"/>
      <c r="D697"/>
      <c r="E697"/>
      <c r="F697"/>
      <c r="G697"/>
      <c r="H697"/>
      <c r="I697"/>
      <c r="J697" s="3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</row>
    <row r="698" spans="1:27" s="1" customFormat="1">
      <c r="A698"/>
      <c r="B698"/>
      <c r="C698"/>
      <c r="D698"/>
      <c r="E698"/>
      <c r="F698"/>
      <c r="G698"/>
      <c r="H698"/>
      <c r="I698"/>
      <c r="J698" s="3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</row>
    <row r="699" spans="1:27" s="1" customFormat="1">
      <c r="A699"/>
      <c r="B699"/>
      <c r="C699"/>
      <c r="D699"/>
      <c r="E699"/>
      <c r="F699"/>
      <c r="G699"/>
      <c r="H699"/>
      <c r="I699"/>
      <c r="J699" s="3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</row>
    <row r="700" spans="1:27" s="1" customFormat="1">
      <c r="A700"/>
      <c r="B700"/>
      <c r="C700"/>
      <c r="D700"/>
      <c r="E700"/>
      <c r="F700"/>
      <c r="G700"/>
      <c r="H700"/>
      <c r="I700"/>
      <c r="J700" s="3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</row>
    <row r="701" spans="1:27" s="1" customFormat="1">
      <c r="A701"/>
      <c r="B701"/>
      <c r="C701"/>
      <c r="D701"/>
      <c r="E701"/>
      <c r="F701"/>
      <c r="G701"/>
      <c r="H701"/>
      <c r="I701"/>
      <c r="J701" s="3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</row>
    <row r="702" spans="1:27" s="1" customFormat="1">
      <c r="A702"/>
      <c r="B702"/>
      <c r="C702"/>
      <c r="D702"/>
      <c r="E702"/>
      <c r="F702"/>
      <c r="G702"/>
      <c r="H702"/>
      <c r="I702"/>
      <c r="J702" s="3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</row>
    <row r="703" spans="1:27" s="1" customFormat="1">
      <c r="A703"/>
      <c r="B703"/>
      <c r="C703"/>
      <c r="D703"/>
      <c r="E703"/>
      <c r="F703"/>
      <c r="G703"/>
      <c r="H703"/>
      <c r="I703"/>
      <c r="J703" s="3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</row>
    <row r="704" spans="1:27" s="1" customFormat="1">
      <c r="A704"/>
      <c r="B704"/>
      <c r="C704"/>
      <c r="D704"/>
      <c r="E704"/>
      <c r="F704"/>
      <c r="G704"/>
      <c r="H704"/>
      <c r="I704"/>
      <c r="J704" s="3"/>
      <c r="K704" s="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2"/>
      <c r="Y704" s="2"/>
      <c r="Z704" s="2"/>
      <c r="AA704" s="2"/>
    </row>
    <row r="705" spans="1:27" s="1" customFormat="1">
      <c r="A705"/>
      <c r="B705"/>
      <c r="C705"/>
      <c r="D705"/>
      <c r="E705"/>
      <c r="F705"/>
      <c r="G705"/>
      <c r="H705"/>
      <c r="I705"/>
      <c r="K705" s="2"/>
      <c r="L705" s="14"/>
      <c r="M705" s="14"/>
      <c r="N705" s="14"/>
      <c r="O705" s="12"/>
      <c r="P705" s="12"/>
      <c r="Q705" s="12"/>
      <c r="R705" s="14"/>
      <c r="S705" s="14"/>
      <c r="T705" s="12"/>
      <c r="U705" s="2"/>
      <c r="V705" s="12"/>
      <c r="W705" s="2"/>
      <c r="X705" s="2"/>
      <c r="Y705" s="2"/>
      <c r="Z705" s="2"/>
      <c r="AA705" s="2"/>
    </row>
    <row r="706" spans="1:27" s="1" customFormat="1">
      <c r="A706"/>
      <c r="B706"/>
      <c r="C706"/>
      <c r="D706"/>
      <c r="E706"/>
      <c r="F706"/>
      <c r="G706"/>
      <c r="H706"/>
      <c r="I706"/>
      <c r="K706" s="2"/>
      <c r="L706" s="12"/>
      <c r="M706" s="12"/>
      <c r="N706" s="12"/>
      <c r="O706" s="12"/>
      <c r="P706" s="12"/>
      <c r="Q706" s="12"/>
      <c r="R706" s="12"/>
      <c r="S706" s="12"/>
      <c r="T706" s="12"/>
      <c r="U706" s="13"/>
      <c r="V706" s="13"/>
      <c r="W706" s="12"/>
      <c r="X706" s="2"/>
      <c r="Y706" s="2"/>
      <c r="Z706" s="2"/>
      <c r="AA706" s="2"/>
    </row>
    <row r="707" spans="1:27" s="1" customFormat="1">
      <c r="A707"/>
      <c r="B707"/>
      <c r="C707"/>
      <c r="D707"/>
      <c r="E707"/>
      <c r="F707"/>
      <c r="G707"/>
      <c r="H707"/>
      <c r="I707"/>
      <c r="K707" s="2"/>
      <c r="L707" s="10"/>
      <c r="M707" s="10"/>
      <c r="N707" s="9"/>
      <c r="O707" s="6"/>
      <c r="P707" s="8"/>
      <c r="Q707" s="6"/>
      <c r="R707" s="8"/>
      <c r="S707" s="6"/>
      <c r="T707" s="8"/>
      <c r="U707" s="7"/>
      <c r="V707" s="7"/>
      <c r="W707" s="6"/>
      <c r="X707" s="2"/>
      <c r="Y707" s="2"/>
      <c r="Z707" s="2"/>
      <c r="AA707" s="2"/>
    </row>
    <row r="708" spans="1:27" s="1" customFormat="1">
      <c r="A708"/>
      <c r="B708"/>
      <c r="C708"/>
      <c r="D708"/>
      <c r="E708"/>
      <c r="F708"/>
      <c r="G708"/>
      <c r="H708"/>
      <c r="I708"/>
      <c r="K708" s="11"/>
      <c r="L708" s="10"/>
      <c r="M708" s="10"/>
      <c r="N708" s="9"/>
      <c r="O708" s="6"/>
      <c r="P708" s="8"/>
      <c r="Q708" s="6"/>
      <c r="R708" s="8"/>
      <c r="S708" s="6"/>
      <c r="T708" s="8"/>
      <c r="U708" s="7"/>
      <c r="V708" s="7"/>
      <c r="W708" s="6"/>
      <c r="X708" s="2"/>
      <c r="Y708" s="2"/>
      <c r="Z708" s="2"/>
      <c r="AA708" s="2"/>
    </row>
    <row r="709" spans="1:27" s="1" customFormat="1">
      <c r="A709"/>
      <c r="B709"/>
      <c r="C709"/>
      <c r="D709"/>
      <c r="E709"/>
      <c r="F709"/>
      <c r="G709"/>
      <c r="H709"/>
      <c r="I709"/>
      <c r="K709" s="2"/>
      <c r="L709" s="10"/>
      <c r="M709" s="10"/>
      <c r="N709" s="9"/>
      <c r="O709" s="6"/>
      <c r="P709" s="8"/>
      <c r="Q709" s="6"/>
      <c r="R709" s="8"/>
      <c r="S709" s="6"/>
      <c r="T709" s="8"/>
      <c r="U709" s="7"/>
      <c r="V709" s="7"/>
      <c r="W709" s="6"/>
      <c r="X709" s="2"/>
      <c r="Y709" s="2"/>
      <c r="Z709" s="2"/>
      <c r="AA709" s="2"/>
    </row>
    <row r="710" spans="1:27" s="1" customFormat="1">
      <c r="A710"/>
      <c r="B710"/>
      <c r="C710"/>
      <c r="D710"/>
      <c r="E710"/>
      <c r="F710"/>
      <c r="G710"/>
      <c r="H710"/>
      <c r="I710"/>
      <c r="K710" s="2"/>
      <c r="L710" s="10"/>
      <c r="M710" s="10"/>
      <c r="N710" s="9"/>
      <c r="O710" s="6"/>
      <c r="P710" s="8"/>
      <c r="Q710" s="6"/>
      <c r="R710" s="8"/>
      <c r="S710" s="6"/>
      <c r="T710" s="8"/>
      <c r="U710" s="7"/>
      <c r="V710" s="7"/>
      <c r="W710" s="6"/>
      <c r="X710" s="2"/>
      <c r="Y710" s="2"/>
      <c r="Z710" s="2"/>
      <c r="AA710" s="2"/>
    </row>
    <row r="711" spans="1:27" s="1" customFormat="1">
      <c r="A711"/>
      <c r="B711"/>
      <c r="C711"/>
      <c r="D711"/>
      <c r="E711"/>
      <c r="F711"/>
      <c r="G711"/>
      <c r="H711"/>
      <c r="I711"/>
      <c r="K711" s="2"/>
      <c r="L711" s="2"/>
      <c r="M711" s="2"/>
      <c r="N711" s="2"/>
      <c r="O711" s="6"/>
      <c r="P711" s="8"/>
      <c r="Q711" s="6"/>
      <c r="R711" s="8"/>
      <c r="S711" s="6"/>
      <c r="T711" s="8"/>
      <c r="U711" s="7"/>
      <c r="V711" s="7"/>
      <c r="W711" s="6"/>
      <c r="X711" s="2"/>
      <c r="Y711" s="2"/>
      <c r="Z711" s="2"/>
      <c r="AA711" s="2"/>
    </row>
    <row r="712" spans="1:27" s="1" customFormat="1">
      <c r="A712"/>
      <c r="B712"/>
      <c r="C712"/>
      <c r="D712"/>
      <c r="E712"/>
      <c r="F712"/>
      <c r="G712"/>
      <c r="H712"/>
      <c r="I712"/>
      <c r="K712" s="2"/>
      <c r="L712" s="2"/>
      <c r="M712" s="2"/>
      <c r="N712" s="2"/>
      <c r="O712" s="5"/>
      <c r="P712" s="4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</row>
    <row r="713" spans="1:27" s="1" customFormat="1">
      <c r="A713"/>
      <c r="B713"/>
      <c r="C713"/>
      <c r="D713"/>
      <c r="E713"/>
      <c r="F713"/>
      <c r="G713"/>
      <c r="H713"/>
      <c r="I713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</row>
    <row r="714" spans="1:27" s="1" customFormat="1">
      <c r="A714"/>
      <c r="B714"/>
      <c r="C714"/>
      <c r="D714"/>
      <c r="E714"/>
      <c r="F714"/>
      <c r="G714"/>
      <c r="H714"/>
      <c r="I714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</row>
    <row r="715" spans="1:27" s="1" customFormat="1">
      <c r="A715"/>
      <c r="B715"/>
      <c r="C715"/>
      <c r="D715"/>
      <c r="E715"/>
      <c r="F715"/>
      <c r="G715"/>
      <c r="H715"/>
      <c r="I715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</row>
    <row r="716" spans="1:27" s="1" customFormat="1">
      <c r="A716"/>
      <c r="B716"/>
      <c r="C716"/>
      <c r="D716"/>
      <c r="E716"/>
      <c r="F716"/>
      <c r="G716"/>
      <c r="H716"/>
      <c r="I716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</row>
    <row r="717" spans="1:27" s="1" customFormat="1">
      <c r="A717"/>
      <c r="B717"/>
      <c r="C717"/>
      <c r="D717"/>
      <c r="E717"/>
      <c r="F717"/>
      <c r="G717"/>
      <c r="H717"/>
      <c r="I717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</row>
    <row r="718" spans="1:27" s="1" customFormat="1">
      <c r="A718"/>
      <c r="B718"/>
      <c r="C718"/>
      <c r="D718"/>
      <c r="E718"/>
      <c r="F718"/>
      <c r="G718"/>
      <c r="H718"/>
      <c r="I718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</row>
    <row r="719" spans="1:27" s="1" customFormat="1">
      <c r="A719"/>
      <c r="B719"/>
      <c r="C719"/>
      <c r="D719"/>
      <c r="E719"/>
      <c r="F719"/>
      <c r="G719"/>
      <c r="H719"/>
      <c r="I719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</row>
    <row r="720" spans="1:27" s="1" customFormat="1">
      <c r="A720"/>
      <c r="B720"/>
      <c r="C720"/>
      <c r="D720"/>
      <c r="E720"/>
      <c r="F720"/>
      <c r="G720"/>
      <c r="H720"/>
      <c r="I720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</row>
    <row r="721" spans="1:27" s="1" customFormat="1">
      <c r="A721"/>
      <c r="B721"/>
      <c r="C721"/>
      <c r="D721"/>
      <c r="E721"/>
      <c r="F721"/>
      <c r="G721"/>
      <c r="H721"/>
      <c r="I721"/>
      <c r="J721" s="3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</row>
    <row r="722" spans="1:27" s="1" customFormat="1">
      <c r="A722"/>
      <c r="B722"/>
      <c r="C722"/>
      <c r="D722"/>
      <c r="E722"/>
      <c r="F722"/>
      <c r="G722"/>
      <c r="H722"/>
      <c r="I722"/>
      <c r="J722" s="3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</row>
    <row r="723" spans="1:27" s="1" customFormat="1">
      <c r="A723"/>
      <c r="B723"/>
      <c r="C723"/>
      <c r="D723"/>
      <c r="E723"/>
      <c r="F723"/>
      <c r="G723"/>
      <c r="H723"/>
      <c r="I723"/>
      <c r="J723" s="3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</row>
    <row r="724" spans="1:27" s="1" customFormat="1">
      <c r="A724"/>
      <c r="B724"/>
      <c r="C724"/>
      <c r="D724"/>
      <c r="E724"/>
      <c r="F724"/>
      <c r="G724"/>
      <c r="H724"/>
      <c r="I724"/>
      <c r="J724" s="3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</row>
    <row r="725" spans="1:27" s="1" customFormat="1">
      <c r="A725"/>
      <c r="B725"/>
      <c r="C725"/>
      <c r="D725"/>
      <c r="E725"/>
      <c r="F725"/>
      <c r="G725"/>
      <c r="H725"/>
      <c r="I725"/>
      <c r="J725" s="3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</row>
    <row r="726" spans="1:27" s="1" customFormat="1">
      <c r="A726"/>
      <c r="B726"/>
      <c r="C726"/>
      <c r="D726"/>
      <c r="E726"/>
      <c r="F726"/>
      <c r="G726"/>
      <c r="H726"/>
      <c r="I726"/>
      <c r="J726" s="3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</row>
    <row r="727" spans="1:27" s="1" customFormat="1">
      <c r="A727"/>
      <c r="B727"/>
      <c r="C727"/>
      <c r="D727"/>
      <c r="E727"/>
      <c r="F727"/>
      <c r="G727"/>
      <c r="H727"/>
      <c r="I727"/>
      <c r="J727" s="3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</row>
    <row r="728" spans="1:27" s="1" customFormat="1">
      <c r="A728"/>
      <c r="B728"/>
      <c r="C728"/>
      <c r="D728"/>
      <c r="E728"/>
      <c r="F728"/>
      <c r="G728"/>
      <c r="H728"/>
      <c r="I728"/>
      <c r="J728" s="3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</row>
    <row r="729" spans="1:27" s="1" customFormat="1">
      <c r="A729"/>
      <c r="B729"/>
      <c r="C729"/>
      <c r="D729"/>
      <c r="E729"/>
      <c r="F729"/>
      <c r="G729"/>
      <c r="H729"/>
      <c r="I729"/>
      <c r="J729" s="3"/>
      <c r="K729" s="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2"/>
      <c r="Y729" s="2"/>
      <c r="Z729" s="2"/>
      <c r="AA729" s="2"/>
    </row>
    <row r="730" spans="1:27" s="1" customFormat="1">
      <c r="A730"/>
      <c r="B730"/>
      <c r="C730"/>
      <c r="D730"/>
      <c r="E730"/>
      <c r="F730"/>
      <c r="G730"/>
      <c r="H730"/>
      <c r="I730"/>
      <c r="J730" s="3"/>
      <c r="K730" s="2"/>
      <c r="L730" s="14"/>
      <c r="M730" s="14"/>
      <c r="N730" s="14"/>
      <c r="O730" s="12"/>
      <c r="P730" s="12"/>
      <c r="Q730" s="12"/>
      <c r="R730" s="14"/>
      <c r="S730" s="14"/>
      <c r="T730" s="12"/>
      <c r="U730" s="2"/>
      <c r="V730" s="12"/>
      <c r="W730" s="2"/>
      <c r="X730" s="2"/>
      <c r="Y730" s="2"/>
      <c r="Z730" s="2"/>
      <c r="AA730" s="2"/>
    </row>
    <row r="731" spans="1:27" s="1" customFormat="1">
      <c r="A731"/>
      <c r="B731"/>
      <c r="C731"/>
      <c r="D731"/>
      <c r="E731"/>
      <c r="F731"/>
      <c r="G731"/>
      <c r="H731"/>
      <c r="I731"/>
      <c r="J731" s="3"/>
      <c r="K731" s="2"/>
      <c r="L731" s="12"/>
      <c r="M731" s="12"/>
      <c r="N731" s="12"/>
      <c r="O731" s="12"/>
      <c r="P731" s="12"/>
      <c r="Q731" s="12"/>
      <c r="R731" s="12"/>
      <c r="S731" s="12"/>
      <c r="T731" s="12"/>
      <c r="U731" s="13"/>
      <c r="V731" s="13"/>
      <c r="W731" s="12"/>
      <c r="X731" s="2"/>
      <c r="Y731" s="2"/>
      <c r="Z731" s="2"/>
      <c r="AA731" s="2"/>
    </row>
    <row r="732" spans="1:27" s="1" customFormat="1">
      <c r="A732"/>
      <c r="B732"/>
      <c r="C732"/>
      <c r="D732"/>
      <c r="E732"/>
      <c r="F732"/>
      <c r="G732"/>
      <c r="H732"/>
      <c r="I732"/>
      <c r="J732" s="3"/>
      <c r="K732" s="2"/>
      <c r="L732" s="10"/>
      <c r="M732" s="10"/>
      <c r="N732" s="9"/>
      <c r="O732" s="6"/>
      <c r="P732" s="8"/>
      <c r="Q732" s="6"/>
      <c r="R732" s="8"/>
      <c r="S732" s="6"/>
      <c r="T732" s="8"/>
      <c r="U732" s="7"/>
      <c r="V732" s="7"/>
      <c r="W732" s="6"/>
      <c r="X732" s="2"/>
      <c r="Y732" s="2"/>
      <c r="Z732" s="2"/>
      <c r="AA732" s="2"/>
    </row>
    <row r="733" spans="1:27" s="1" customFormat="1">
      <c r="A733"/>
      <c r="B733"/>
      <c r="C733"/>
      <c r="D733"/>
      <c r="E733"/>
      <c r="F733"/>
      <c r="G733"/>
      <c r="H733"/>
      <c r="I733"/>
      <c r="J733" s="3"/>
      <c r="K733" s="11"/>
      <c r="L733" s="10"/>
      <c r="M733" s="10"/>
      <c r="N733" s="9"/>
      <c r="O733" s="6"/>
      <c r="P733" s="8"/>
      <c r="Q733" s="6"/>
      <c r="R733" s="8"/>
      <c r="S733" s="6"/>
      <c r="T733" s="8"/>
      <c r="U733" s="7"/>
      <c r="V733" s="7"/>
      <c r="W733" s="6"/>
      <c r="X733" s="2"/>
      <c r="Y733" s="2"/>
      <c r="Z733" s="2"/>
      <c r="AA733" s="2"/>
    </row>
    <row r="734" spans="1:27" s="1" customFormat="1">
      <c r="A734"/>
      <c r="B734"/>
      <c r="C734"/>
      <c r="D734"/>
      <c r="E734"/>
      <c r="F734"/>
      <c r="G734"/>
      <c r="H734"/>
      <c r="I734"/>
      <c r="J734" s="3"/>
      <c r="K734" s="2"/>
      <c r="L734" s="10"/>
      <c r="M734" s="10"/>
      <c r="N734" s="9"/>
      <c r="O734" s="6"/>
      <c r="P734" s="8"/>
      <c r="Q734" s="6"/>
      <c r="R734" s="8"/>
      <c r="S734" s="6"/>
      <c r="T734" s="8"/>
      <c r="U734" s="7"/>
      <c r="V734" s="7"/>
      <c r="W734" s="6"/>
      <c r="X734" s="2"/>
      <c r="Y734" s="2"/>
      <c r="Z734" s="2"/>
      <c r="AA734" s="2"/>
    </row>
    <row r="735" spans="1:27" s="1" customFormat="1">
      <c r="A735"/>
      <c r="B735"/>
      <c r="C735"/>
      <c r="D735"/>
      <c r="E735"/>
      <c r="F735"/>
      <c r="G735"/>
      <c r="H735"/>
      <c r="I735"/>
      <c r="J735" s="3"/>
      <c r="K735" s="2"/>
      <c r="L735" s="10"/>
      <c r="M735" s="10"/>
      <c r="N735" s="9"/>
      <c r="O735" s="6"/>
      <c r="P735" s="8"/>
      <c r="Q735" s="6"/>
      <c r="R735" s="8"/>
      <c r="S735" s="6"/>
      <c r="T735" s="8"/>
      <c r="U735" s="7"/>
      <c r="V735" s="7"/>
      <c r="W735" s="6"/>
      <c r="X735" s="2"/>
      <c r="Y735" s="2"/>
      <c r="Z735" s="2"/>
      <c r="AA735" s="2"/>
    </row>
    <row r="736" spans="1:27" s="1" customFormat="1">
      <c r="A736"/>
      <c r="B736"/>
      <c r="C736"/>
      <c r="D736"/>
      <c r="E736"/>
      <c r="F736"/>
      <c r="G736"/>
      <c r="H736"/>
      <c r="I736"/>
      <c r="J736" s="3"/>
      <c r="K736" s="2"/>
      <c r="L736" s="2"/>
      <c r="M736" s="2"/>
      <c r="N736" s="2"/>
      <c r="O736" s="6"/>
      <c r="P736" s="8"/>
      <c r="Q736" s="6"/>
      <c r="R736" s="8"/>
      <c r="S736" s="6"/>
      <c r="T736" s="8"/>
      <c r="U736" s="7"/>
      <c r="V736" s="7"/>
      <c r="W736" s="6"/>
      <c r="X736" s="2"/>
      <c r="Y736" s="2"/>
      <c r="Z736" s="2"/>
      <c r="AA736" s="2"/>
    </row>
    <row r="737" spans="1:27" s="1" customFormat="1">
      <c r="A737"/>
      <c r="B737"/>
      <c r="C737"/>
      <c r="D737"/>
      <c r="E737"/>
      <c r="F737"/>
      <c r="G737"/>
      <c r="H737"/>
      <c r="I737"/>
      <c r="J737" s="3"/>
      <c r="K737" s="2"/>
      <c r="L737" s="2"/>
      <c r="M737" s="2"/>
      <c r="N737" s="2"/>
      <c r="O737" s="5"/>
      <c r="P737" s="4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</row>
    <row r="738" spans="1:27" s="1" customFormat="1">
      <c r="A738"/>
      <c r="B738"/>
      <c r="C738"/>
      <c r="D738"/>
      <c r="E738"/>
      <c r="F738"/>
      <c r="G738"/>
      <c r="H738"/>
      <c r="I738"/>
      <c r="J738" s="3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</row>
    <row r="739" spans="1:27" s="1" customFormat="1">
      <c r="A739"/>
      <c r="B739"/>
      <c r="C739"/>
      <c r="D739"/>
      <c r="E739"/>
      <c r="F739"/>
      <c r="G739"/>
      <c r="H739"/>
      <c r="I739"/>
      <c r="J739" s="3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</row>
    <row r="740" spans="1:27" s="1" customFormat="1">
      <c r="A740"/>
      <c r="B740"/>
      <c r="C740"/>
      <c r="D740"/>
      <c r="E740"/>
      <c r="F740"/>
      <c r="G740"/>
      <c r="H740"/>
      <c r="I740"/>
      <c r="J740" s="3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</row>
    <row r="741" spans="1:27" s="1" customFormat="1">
      <c r="A741"/>
      <c r="B741"/>
      <c r="C741"/>
      <c r="D741"/>
      <c r="E741"/>
      <c r="F741"/>
      <c r="G741"/>
      <c r="H741"/>
      <c r="I741"/>
      <c r="J741" s="3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</row>
    <row r="742" spans="1:27" s="1" customFormat="1">
      <c r="A742"/>
      <c r="B742"/>
      <c r="C742"/>
      <c r="D742"/>
      <c r="E742"/>
      <c r="F742"/>
      <c r="G742"/>
      <c r="H742"/>
      <c r="I742"/>
      <c r="J742" s="3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</row>
    <row r="743" spans="1:27" s="1" customFormat="1">
      <c r="A743"/>
      <c r="B743"/>
      <c r="C743"/>
      <c r="D743"/>
      <c r="E743"/>
      <c r="F743"/>
      <c r="G743"/>
      <c r="H743"/>
      <c r="I743"/>
      <c r="J743" s="3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</row>
    <row r="744" spans="1:27" s="1" customFormat="1">
      <c r="A744"/>
      <c r="B744"/>
      <c r="C744"/>
      <c r="D744"/>
      <c r="E744"/>
      <c r="F744"/>
      <c r="G744"/>
      <c r="H744"/>
      <c r="I744"/>
      <c r="J744" s="3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</row>
    <row r="745" spans="1:27" s="1" customFormat="1">
      <c r="A745"/>
      <c r="B745"/>
      <c r="C745"/>
      <c r="D745"/>
      <c r="E745"/>
      <c r="F745"/>
      <c r="G745"/>
      <c r="H745"/>
      <c r="I745"/>
      <c r="J745" s="3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</row>
    <row r="746" spans="1:27" s="1" customFormat="1">
      <c r="A746"/>
      <c r="B746"/>
      <c r="C746"/>
      <c r="D746"/>
      <c r="E746"/>
      <c r="F746"/>
      <c r="G746"/>
      <c r="H746"/>
      <c r="I746"/>
      <c r="J746" s="3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</row>
    <row r="747" spans="1:27" s="1" customFormat="1">
      <c r="A747"/>
      <c r="B747"/>
      <c r="C747"/>
      <c r="D747"/>
      <c r="E747"/>
      <c r="F747"/>
      <c r="G747"/>
      <c r="H747"/>
      <c r="I747"/>
      <c r="J747" s="3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</row>
    <row r="748" spans="1:27" s="1" customFormat="1">
      <c r="A748"/>
      <c r="B748"/>
      <c r="C748"/>
      <c r="D748"/>
      <c r="E748"/>
      <c r="F748"/>
      <c r="G748"/>
      <c r="H748"/>
      <c r="I748"/>
      <c r="J748" s="3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</row>
    <row r="749" spans="1:27" s="1" customFormat="1">
      <c r="A749"/>
      <c r="B749"/>
      <c r="C749"/>
      <c r="D749"/>
      <c r="E749"/>
      <c r="F749"/>
      <c r="G749"/>
      <c r="H749"/>
      <c r="I749"/>
      <c r="J749" s="3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</row>
    <row r="750" spans="1:27" s="1" customFormat="1">
      <c r="A750"/>
      <c r="B750"/>
      <c r="C750"/>
      <c r="D750"/>
      <c r="E750"/>
      <c r="F750"/>
      <c r="G750"/>
      <c r="H750"/>
      <c r="I750"/>
      <c r="J750" s="3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</row>
    <row r="751" spans="1:27" s="1" customFormat="1">
      <c r="A751"/>
      <c r="B751"/>
      <c r="C751"/>
      <c r="D751"/>
      <c r="E751"/>
      <c r="F751"/>
      <c r="G751"/>
      <c r="H751"/>
      <c r="I751"/>
      <c r="J751" s="3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</row>
    <row r="752" spans="1:27" s="1" customFormat="1">
      <c r="A752"/>
      <c r="B752"/>
      <c r="C752"/>
      <c r="D752"/>
      <c r="E752"/>
      <c r="F752"/>
      <c r="G752"/>
      <c r="H752"/>
      <c r="I752"/>
      <c r="J752" s="3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</row>
    <row r="753" spans="1:27" s="1" customFormat="1">
      <c r="A753"/>
      <c r="B753"/>
      <c r="C753"/>
      <c r="D753"/>
      <c r="E753"/>
      <c r="F753"/>
      <c r="G753"/>
      <c r="H753"/>
      <c r="I753"/>
      <c r="J753" s="3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</row>
    <row r="754" spans="1:27" s="1" customFormat="1">
      <c r="A754"/>
      <c r="B754"/>
      <c r="C754"/>
      <c r="D754"/>
      <c r="E754"/>
      <c r="F754"/>
      <c r="G754"/>
      <c r="H754"/>
      <c r="I754"/>
      <c r="J754" s="3"/>
      <c r="K754" s="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2"/>
      <c r="Y754" s="2"/>
      <c r="Z754" s="2"/>
      <c r="AA754" s="2"/>
    </row>
    <row r="755" spans="1:27" s="1" customFormat="1">
      <c r="A755"/>
      <c r="B755"/>
      <c r="C755"/>
      <c r="D755"/>
      <c r="E755"/>
      <c r="F755"/>
      <c r="G755"/>
      <c r="H755"/>
      <c r="I755"/>
      <c r="J755" s="3"/>
      <c r="K755" s="2"/>
      <c r="L755" s="14"/>
      <c r="M755" s="14"/>
      <c r="N755" s="14"/>
      <c r="O755" s="12"/>
      <c r="P755" s="12"/>
      <c r="Q755" s="12"/>
      <c r="R755" s="14"/>
      <c r="S755" s="14"/>
      <c r="T755" s="12"/>
      <c r="U755" s="2"/>
      <c r="V755" s="12"/>
      <c r="W755" s="2"/>
      <c r="X755" s="2"/>
      <c r="Y755" s="2"/>
      <c r="Z755" s="2"/>
      <c r="AA755" s="2"/>
    </row>
    <row r="756" spans="1:27" s="1" customFormat="1">
      <c r="A756"/>
      <c r="B756"/>
      <c r="C756"/>
      <c r="D756"/>
      <c r="E756"/>
      <c r="F756"/>
      <c r="G756"/>
      <c r="H756"/>
      <c r="I756"/>
      <c r="J756" s="3"/>
      <c r="K756" s="2"/>
      <c r="L756" s="12"/>
      <c r="M756" s="12"/>
      <c r="N756" s="12"/>
      <c r="O756" s="12"/>
      <c r="P756" s="12"/>
      <c r="Q756" s="12"/>
      <c r="R756" s="12"/>
      <c r="S756" s="12"/>
      <c r="T756" s="12"/>
      <c r="U756" s="13"/>
      <c r="V756" s="13"/>
      <c r="W756" s="12"/>
      <c r="X756" s="2"/>
      <c r="Y756" s="2"/>
      <c r="Z756" s="2"/>
      <c r="AA756" s="2"/>
    </row>
    <row r="757" spans="1:27" s="1" customFormat="1">
      <c r="A757"/>
      <c r="B757"/>
      <c r="C757"/>
      <c r="D757"/>
      <c r="E757"/>
      <c r="F757"/>
      <c r="G757"/>
      <c r="H757"/>
      <c r="I757"/>
      <c r="J757" s="3"/>
      <c r="K757" s="2"/>
      <c r="L757" s="10"/>
      <c r="M757" s="10"/>
      <c r="N757" s="9"/>
      <c r="O757" s="6"/>
      <c r="P757" s="8"/>
      <c r="Q757" s="6"/>
      <c r="R757" s="8"/>
      <c r="S757" s="6"/>
      <c r="T757" s="8"/>
      <c r="U757" s="7"/>
      <c r="V757" s="7"/>
      <c r="W757" s="6"/>
      <c r="X757" s="2"/>
      <c r="Y757" s="2"/>
      <c r="Z757" s="2"/>
      <c r="AA757" s="2"/>
    </row>
    <row r="758" spans="1:27" s="1" customFormat="1">
      <c r="A758"/>
      <c r="B758"/>
      <c r="C758"/>
      <c r="D758"/>
      <c r="E758"/>
      <c r="F758"/>
      <c r="G758"/>
      <c r="H758"/>
      <c r="I758"/>
      <c r="J758" s="3"/>
      <c r="K758" s="11"/>
      <c r="L758" s="10"/>
      <c r="M758" s="10"/>
      <c r="N758" s="9"/>
      <c r="O758" s="6"/>
      <c r="P758" s="8"/>
      <c r="Q758" s="6"/>
      <c r="R758" s="8"/>
      <c r="S758" s="6"/>
      <c r="T758" s="8"/>
      <c r="U758" s="7"/>
      <c r="V758" s="7"/>
      <c r="W758" s="6"/>
      <c r="X758" s="2"/>
      <c r="Y758" s="2"/>
      <c r="Z758" s="2"/>
      <c r="AA758" s="2"/>
    </row>
    <row r="759" spans="1:27" s="1" customFormat="1">
      <c r="A759"/>
      <c r="B759"/>
      <c r="C759"/>
      <c r="D759"/>
      <c r="E759"/>
      <c r="F759"/>
      <c r="G759"/>
      <c r="H759"/>
      <c r="I759"/>
      <c r="J759" s="3"/>
      <c r="K759" s="2"/>
      <c r="L759" s="10"/>
      <c r="M759" s="10"/>
      <c r="N759" s="9"/>
      <c r="O759" s="6"/>
      <c r="P759" s="8"/>
      <c r="Q759" s="6"/>
      <c r="R759" s="8"/>
      <c r="S759" s="6"/>
      <c r="T759" s="8"/>
      <c r="U759" s="7"/>
      <c r="V759" s="7"/>
      <c r="W759" s="6"/>
      <c r="X759" s="2"/>
      <c r="Y759" s="2"/>
      <c r="Z759" s="2"/>
      <c r="AA759" s="2"/>
    </row>
    <row r="760" spans="1:27" s="1" customFormat="1">
      <c r="A760"/>
      <c r="B760"/>
      <c r="C760"/>
      <c r="D760"/>
      <c r="E760"/>
      <c r="F760"/>
      <c r="G760"/>
      <c r="H760"/>
      <c r="I760"/>
      <c r="J760" s="3"/>
      <c r="K760" s="2"/>
      <c r="L760" s="10"/>
      <c r="M760" s="10"/>
      <c r="N760" s="9"/>
      <c r="O760" s="6"/>
      <c r="P760" s="8"/>
      <c r="Q760" s="6"/>
      <c r="R760" s="8"/>
      <c r="S760" s="6"/>
      <c r="T760" s="8"/>
      <c r="U760" s="7"/>
      <c r="V760" s="7"/>
      <c r="W760" s="6"/>
      <c r="X760" s="2"/>
      <c r="Y760" s="2"/>
      <c r="Z760" s="2"/>
      <c r="AA760" s="2"/>
    </row>
    <row r="761" spans="1:27" s="1" customFormat="1">
      <c r="A761"/>
      <c r="B761"/>
      <c r="C761"/>
      <c r="D761"/>
      <c r="E761"/>
      <c r="F761"/>
      <c r="G761"/>
      <c r="H761"/>
      <c r="I761"/>
      <c r="J761" s="3"/>
      <c r="K761" s="2"/>
      <c r="L761" s="2"/>
      <c r="M761" s="2"/>
      <c r="N761" s="2"/>
      <c r="O761" s="6"/>
      <c r="P761" s="8"/>
      <c r="Q761" s="6"/>
      <c r="R761" s="8"/>
      <c r="S761" s="6"/>
      <c r="T761" s="8"/>
      <c r="U761" s="7"/>
      <c r="V761" s="7"/>
      <c r="W761" s="6"/>
      <c r="X761" s="2"/>
      <c r="Y761" s="2"/>
      <c r="Z761" s="2"/>
      <c r="AA761" s="2"/>
    </row>
    <row r="762" spans="1:27" s="1" customFormat="1">
      <c r="A762"/>
      <c r="B762"/>
      <c r="C762"/>
      <c r="D762"/>
      <c r="E762"/>
      <c r="F762"/>
      <c r="G762"/>
      <c r="H762"/>
      <c r="I762"/>
      <c r="J762" s="3"/>
      <c r="K762" s="2"/>
      <c r="L762" s="2"/>
      <c r="M762" s="2"/>
      <c r="N762" s="2"/>
      <c r="O762" s="5"/>
      <c r="P762" s="4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</row>
    <row r="763" spans="1:27" s="1" customFormat="1">
      <c r="A763"/>
      <c r="B763"/>
      <c r="C763"/>
      <c r="D763"/>
      <c r="E763"/>
      <c r="F763"/>
      <c r="G763"/>
      <c r="H763"/>
      <c r="I763"/>
      <c r="J763" s="3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</row>
    <row r="764" spans="1:27" s="1" customFormat="1">
      <c r="A764"/>
      <c r="B764"/>
      <c r="C764"/>
      <c r="D764"/>
      <c r="E764"/>
      <c r="F764"/>
      <c r="G764"/>
      <c r="H764"/>
      <c r="I764"/>
      <c r="J764" s="3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</row>
    <row r="765" spans="1:27" s="1" customFormat="1">
      <c r="A765"/>
      <c r="B765"/>
      <c r="C765"/>
      <c r="D765"/>
      <c r="E765"/>
      <c r="F765"/>
      <c r="G765"/>
      <c r="H765"/>
      <c r="I765"/>
      <c r="J765" s="3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</row>
    <row r="766" spans="1:27" s="1" customFormat="1">
      <c r="A766"/>
      <c r="B766"/>
      <c r="C766"/>
      <c r="D766"/>
      <c r="E766"/>
      <c r="F766"/>
      <c r="G766"/>
      <c r="H766"/>
      <c r="I766"/>
      <c r="J766" s="3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</row>
    <row r="767" spans="1:27" s="1" customFormat="1">
      <c r="A767"/>
      <c r="B767"/>
      <c r="C767"/>
      <c r="D767"/>
      <c r="E767"/>
      <c r="F767"/>
      <c r="G767"/>
      <c r="H767"/>
      <c r="I767"/>
      <c r="J767" s="3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</row>
    <row r="768" spans="1:27" s="1" customFormat="1">
      <c r="A768"/>
      <c r="B768"/>
      <c r="C768"/>
      <c r="D768"/>
      <c r="E768"/>
      <c r="F768"/>
      <c r="G768"/>
      <c r="H768"/>
      <c r="I768"/>
      <c r="J768" s="3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</row>
    <row r="769" spans="1:27" s="1" customFormat="1">
      <c r="A769"/>
      <c r="B769"/>
      <c r="C769"/>
      <c r="D769"/>
      <c r="E769"/>
      <c r="F769"/>
      <c r="G769"/>
      <c r="H769"/>
      <c r="I769"/>
      <c r="J769" s="3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</row>
    <row r="770" spans="1:27" s="1" customFormat="1">
      <c r="A770"/>
      <c r="B770"/>
      <c r="C770"/>
      <c r="D770"/>
      <c r="E770"/>
      <c r="F770"/>
      <c r="G770"/>
      <c r="H770"/>
      <c r="I770"/>
      <c r="J770" s="3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</row>
    <row r="771" spans="1:27" s="1" customFormat="1">
      <c r="A771"/>
      <c r="B771"/>
      <c r="C771"/>
      <c r="D771"/>
      <c r="E771"/>
      <c r="F771"/>
      <c r="G771"/>
      <c r="H771"/>
      <c r="I771"/>
      <c r="J771" s="3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</row>
    <row r="772" spans="1:27" s="1" customFormat="1">
      <c r="A772"/>
      <c r="B772"/>
      <c r="C772"/>
      <c r="D772"/>
      <c r="E772"/>
      <c r="F772"/>
      <c r="G772"/>
      <c r="H772"/>
      <c r="I772"/>
      <c r="J772" s="3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</row>
    <row r="773" spans="1:27" s="1" customFormat="1">
      <c r="A773"/>
      <c r="B773"/>
      <c r="C773"/>
      <c r="D773"/>
      <c r="E773"/>
      <c r="F773"/>
      <c r="G773"/>
      <c r="H773"/>
      <c r="I773"/>
      <c r="J773" s="3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</row>
    <row r="774" spans="1:27" s="1" customFormat="1">
      <c r="A774"/>
      <c r="B774"/>
      <c r="C774"/>
      <c r="D774"/>
      <c r="E774"/>
      <c r="F774"/>
      <c r="G774"/>
      <c r="H774"/>
      <c r="I774"/>
      <c r="J774" s="3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</row>
    <row r="775" spans="1:27" s="1" customFormat="1">
      <c r="A775"/>
      <c r="B775"/>
      <c r="C775"/>
      <c r="D775"/>
      <c r="E775"/>
      <c r="F775"/>
      <c r="G775"/>
      <c r="H775"/>
      <c r="I775"/>
      <c r="J775" s="3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</row>
    <row r="776" spans="1:27" s="1" customFormat="1">
      <c r="A776"/>
      <c r="B776"/>
      <c r="C776"/>
      <c r="D776"/>
      <c r="E776"/>
      <c r="F776"/>
      <c r="G776"/>
      <c r="H776"/>
      <c r="I776"/>
      <c r="J776" s="3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</row>
    <row r="777" spans="1:27" s="1" customFormat="1">
      <c r="A777"/>
      <c r="B777"/>
      <c r="C777"/>
      <c r="D777"/>
      <c r="E777"/>
      <c r="F777"/>
      <c r="G777"/>
      <c r="H777"/>
      <c r="I777"/>
      <c r="J777" s="3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</row>
    <row r="778" spans="1:27" s="1" customFormat="1">
      <c r="A778"/>
      <c r="B778"/>
      <c r="C778"/>
      <c r="D778"/>
      <c r="E778"/>
      <c r="F778"/>
      <c r="G778"/>
      <c r="H778"/>
      <c r="I778"/>
      <c r="J778" s="3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</row>
    <row r="779" spans="1:27" s="1" customFormat="1">
      <c r="A779"/>
      <c r="B779"/>
      <c r="C779"/>
      <c r="D779"/>
      <c r="E779"/>
      <c r="F779"/>
      <c r="G779"/>
      <c r="H779"/>
      <c r="I779"/>
      <c r="J779" s="3"/>
      <c r="K779" s="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2"/>
      <c r="Y779" s="2"/>
      <c r="Z779" s="2"/>
      <c r="AA779" s="2"/>
    </row>
    <row r="780" spans="1:27" s="1" customFormat="1">
      <c r="A780"/>
      <c r="B780"/>
      <c r="C780"/>
      <c r="D780"/>
      <c r="E780"/>
      <c r="F780"/>
      <c r="G780"/>
      <c r="H780"/>
      <c r="I780"/>
      <c r="J780" s="3"/>
      <c r="K780" s="2"/>
      <c r="L780" s="14"/>
      <c r="M780" s="14"/>
      <c r="N780" s="14"/>
      <c r="O780" s="12"/>
      <c r="P780" s="12"/>
      <c r="Q780" s="12"/>
      <c r="R780" s="14"/>
      <c r="S780" s="14"/>
      <c r="T780" s="12"/>
      <c r="U780" s="2"/>
      <c r="V780" s="12"/>
      <c r="W780" s="2"/>
      <c r="X780" s="2"/>
      <c r="Y780" s="2"/>
      <c r="Z780" s="2"/>
      <c r="AA780" s="2"/>
    </row>
    <row r="781" spans="1:27" s="1" customFormat="1">
      <c r="A781"/>
      <c r="B781"/>
      <c r="C781"/>
      <c r="D781"/>
      <c r="E781"/>
      <c r="F781"/>
      <c r="G781"/>
      <c r="H781"/>
      <c r="I781"/>
      <c r="J781" s="3"/>
      <c r="K781" s="2"/>
      <c r="L781" s="12"/>
      <c r="M781" s="12"/>
      <c r="N781" s="12"/>
      <c r="O781" s="12"/>
      <c r="P781" s="12"/>
      <c r="Q781" s="12"/>
      <c r="R781" s="12"/>
      <c r="S781" s="12"/>
      <c r="T781" s="12"/>
      <c r="U781" s="13"/>
      <c r="V781" s="13"/>
      <c r="W781" s="12"/>
      <c r="X781" s="2"/>
      <c r="Y781" s="2"/>
      <c r="Z781" s="2"/>
      <c r="AA781" s="2"/>
    </row>
    <row r="782" spans="1:27" s="1" customFormat="1">
      <c r="A782"/>
      <c r="B782"/>
      <c r="C782"/>
      <c r="D782"/>
      <c r="E782"/>
      <c r="F782"/>
      <c r="G782"/>
      <c r="H782"/>
      <c r="I782"/>
      <c r="J782" s="3"/>
      <c r="K782" s="2"/>
      <c r="L782" s="10"/>
      <c r="M782" s="10"/>
      <c r="N782" s="9"/>
      <c r="O782" s="6"/>
      <c r="P782" s="8"/>
      <c r="Q782" s="6"/>
      <c r="R782" s="8"/>
      <c r="S782" s="6"/>
      <c r="T782" s="8"/>
      <c r="U782" s="7"/>
      <c r="V782" s="7"/>
      <c r="W782" s="6"/>
      <c r="X782" s="2"/>
      <c r="Y782" s="2"/>
      <c r="Z782" s="2"/>
      <c r="AA782" s="2"/>
    </row>
    <row r="783" spans="1:27" s="1" customFormat="1">
      <c r="A783"/>
      <c r="B783"/>
      <c r="C783"/>
      <c r="D783"/>
      <c r="E783"/>
      <c r="F783"/>
      <c r="G783"/>
      <c r="H783"/>
      <c r="I783"/>
      <c r="J783" s="3"/>
      <c r="K783" s="11"/>
      <c r="L783" s="10"/>
      <c r="M783" s="10"/>
      <c r="N783" s="9"/>
      <c r="O783" s="6"/>
      <c r="P783" s="8"/>
      <c r="Q783" s="6"/>
      <c r="R783" s="8"/>
      <c r="S783" s="6"/>
      <c r="T783" s="8"/>
      <c r="U783" s="7"/>
      <c r="V783" s="7"/>
      <c r="W783" s="6"/>
      <c r="X783" s="2"/>
      <c r="Y783" s="2"/>
      <c r="Z783" s="2"/>
      <c r="AA783" s="2"/>
    </row>
    <row r="784" spans="1:27" s="1" customFormat="1">
      <c r="A784"/>
      <c r="B784"/>
      <c r="C784"/>
      <c r="D784"/>
      <c r="E784"/>
      <c r="F784"/>
      <c r="G784"/>
      <c r="H784"/>
      <c r="I784"/>
      <c r="J784" s="3"/>
      <c r="K784" s="2"/>
      <c r="L784" s="10"/>
      <c r="M784" s="10"/>
      <c r="N784" s="9"/>
      <c r="O784" s="6"/>
      <c r="P784" s="8"/>
      <c r="Q784" s="6"/>
      <c r="R784" s="8"/>
      <c r="S784" s="6"/>
      <c r="T784" s="8"/>
      <c r="U784" s="7"/>
      <c r="V784" s="7"/>
      <c r="W784" s="6"/>
      <c r="X784" s="2"/>
      <c r="Y784" s="2"/>
      <c r="Z784" s="2"/>
      <c r="AA784" s="2"/>
    </row>
    <row r="785" spans="1:27" s="1" customFormat="1">
      <c r="A785"/>
      <c r="B785"/>
      <c r="C785"/>
      <c r="D785"/>
      <c r="E785"/>
      <c r="F785"/>
      <c r="G785"/>
      <c r="H785"/>
      <c r="I785"/>
      <c r="K785" s="2"/>
      <c r="L785" s="10"/>
      <c r="M785" s="10"/>
      <c r="N785" s="9"/>
      <c r="O785" s="6"/>
      <c r="P785" s="8"/>
      <c r="Q785" s="6"/>
      <c r="R785" s="8"/>
      <c r="S785" s="6"/>
      <c r="T785" s="8"/>
      <c r="U785" s="7"/>
      <c r="V785" s="7"/>
      <c r="W785" s="6"/>
      <c r="X785" s="2"/>
      <c r="Y785" s="2"/>
      <c r="Z785" s="2"/>
      <c r="AA785" s="2"/>
    </row>
    <row r="786" spans="1:27" s="1" customFormat="1">
      <c r="A786"/>
      <c r="B786"/>
      <c r="C786"/>
      <c r="D786"/>
      <c r="E786"/>
      <c r="F786"/>
      <c r="G786"/>
      <c r="H786"/>
      <c r="I786"/>
      <c r="K786" s="2"/>
      <c r="L786" s="2"/>
      <c r="M786" s="2"/>
      <c r="N786" s="2"/>
      <c r="O786" s="6"/>
      <c r="P786" s="8"/>
      <c r="Q786" s="6"/>
      <c r="R786" s="8"/>
      <c r="S786" s="6"/>
      <c r="T786" s="8"/>
      <c r="U786" s="7"/>
      <c r="V786" s="7"/>
      <c r="W786" s="6"/>
      <c r="X786" s="2"/>
      <c r="Y786" s="2"/>
      <c r="Z786" s="2"/>
      <c r="AA786" s="2"/>
    </row>
    <row r="787" spans="1:27" s="1" customFormat="1">
      <c r="A787"/>
      <c r="B787"/>
      <c r="C787"/>
      <c r="D787"/>
      <c r="E787"/>
      <c r="F787"/>
      <c r="G787"/>
      <c r="H787"/>
      <c r="I787"/>
      <c r="K787" s="2"/>
      <c r="L787" s="2"/>
      <c r="M787" s="2"/>
      <c r="N787" s="2"/>
      <c r="O787" s="5"/>
      <c r="P787" s="4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</row>
    <row r="788" spans="1:27" s="1" customFormat="1">
      <c r="A788"/>
      <c r="B788"/>
      <c r="C788"/>
      <c r="D788"/>
      <c r="E788"/>
      <c r="F788"/>
      <c r="G788"/>
      <c r="H788"/>
      <c r="I788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</row>
    <row r="789" spans="1:27" s="1" customFormat="1">
      <c r="A789"/>
      <c r="B789"/>
      <c r="C789"/>
      <c r="D789"/>
      <c r="E789"/>
      <c r="F789"/>
      <c r="G789"/>
      <c r="H789"/>
      <c r="I789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</row>
    <row r="790" spans="1:27" s="1" customFormat="1">
      <c r="A790"/>
      <c r="B790"/>
      <c r="C790"/>
      <c r="D790"/>
      <c r="E790"/>
      <c r="F790"/>
      <c r="G790"/>
      <c r="H790"/>
      <c r="I790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</row>
    <row r="791" spans="1:27" s="1" customFormat="1">
      <c r="A791"/>
      <c r="B791"/>
      <c r="C791"/>
      <c r="D791"/>
      <c r="E791"/>
      <c r="F791"/>
      <c r="G791"/>
      <c r="H791"/>
      <c r="I791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</row>
    <row r="792" spans="1:27" s="1" customFormat="1">
      <c r="A792"/>
      <c r="B792"/>
      <c r="C792"/>
      <c r="D792"/>
      <c r="E792"/>
      <c r="F792"/>
      <c r="G792"/>
      <c r="H792"/>
      <c r="I79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</row>
    <row r="793" spans="1:27" s="1" customFormat="1">
      <c r="A793"/>
      <c r="B793"/>
      <c r="C793"/>
      <c r="D793"/>
      <c r="E793"/>
      <c r="F793"/>
      <c r="G793"/>
      <c r="H793"/>
      <c r="I793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</row>
    <row r="794" spans="1:27" s="1" customFormat="1">
      <c r="A794"/>
      <c r="B794"/>
      <c r="C794"/>
      <c r="D794"/>
      <c r="E794"/>
      <c r="F794"/>
      <c r="G794"/>
      <c r="H794"/>
      <c r="I794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</row>
    <row r="795" spans="1:27" s="1" customFormat="1">
      <c r="A795"/>
      <c r="B795"/>
      <c r="C795"/>
      <c r="D795"/>
      <c r="E795"/>
      <c r="F795"/>
      <c r="G795"/>
      <c r="H795"/>
      <c r="I795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</row>
    <row r="796" spans="1:27" s="1" customFormat="1">
      <c r="A796"/>
      <c r="B796"/>
      <c r="C796"/>
      <c r="D796"/>
      <c r="E796"/>
      <c r="F796"/>
      <c r="G796"/>
      <c r="H796"/>
      <c r="I796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</row>
    <row r="797" spans="1:27" s="1" customFormat="1">
      <c r="A797"/>
      <c r="B797"/>
      <c r="C797"/>
      <c r="D797"/>
      <c r="E797"/>
      <c r="F797"/>
      <c r="G797"/>
      <c r="H797"/>
      <c r="I797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</row>
    <row r="798" spans="1:27" s="1" customFormat="1">
      <c r="A798"/>
      <c r="B798"/>
      <c r="C798"/>
      <c r="D798"/>
      <c r="E798"/>
      <c r="F798"/>
      <c r="G798"/>
      <c r="H798"/>
      <c r="I798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</row>
    <row r="799" spans="1:27" s="1" customFormat="1">
      <c r="A799"/>
      <c r="B799"/>
      <c r="C799"/>
      <c r="D799"/>
      <c r="E799"/>
      <c r="F799"/>
      <c r="G799"/>
      <c r="H799"/>
      <c r="I799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</row>
    <row r="800" spans="1:27" s="1" customFormat="1">
      <c r="A800"/>
      <c r="B800"/>
      <c r="C800"/>
      <c r="D800"/>
      <c r="E800"/>
      <c r="F800"/>
      <c r="G800"/>
      <c r="H800"/>
      <c r="I800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</row>
    <row r="801" spans="1:27" s="1" customFormat="1">
      <c r="A801"/>
      <c r="B801"/>
      <c r="C801"/>
      <c r="D801"/>
      <c r="E801"/>
      <c r="F801"/>
      <c r="G801"/>
      <c r="H801"/>
      <c r="I801"/>
      <c r="J801" s="3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</row>
    <row r="802" spans="1:27" s="1" customFormat="1">
      <c r="A802"/>
      <c r="B802"/>
      <c r="C802"/>
      <c r="D802"/>
      <c r="E802"/>
      <c r="F802"/>
      <c r="G802"/>
      <c r="H802"/>
      <c r="I802"/>
      <c r="J802" s="3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</row>
    <row r="803" spans="1:27" s="1" customFormat="1">
      <c r="A803"/>
      <c r="B803"/>
      <c r="C803"/>
      <c r="D803"/>
      <c r="E803"/>
      <c r="F803"/>
      <c r="G803"/>
      <c r="H803"/>
      <c r="I803"/>
      <c r="J803" s="3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</row>
    <row r="804" spans="1:27" s="1" customFormat="1">
      <c r="A804"/>
      <c r="B804"/>
      <c r="C804"/>
      <c r="D804"/>
      <c r="E804"/>
      <c r="F804"/>
      <c r="G804"/>
      <c r="H804"/>
      <c r="I804"/>
      <c r="J804" s="3"/>
      <c r="K804" s="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2"/>
      <c r="Y804" s="2"/>
      <c r="Z804" s="2"/>
      <c r="AA804" s="2"/>
    </row>
    <row r="805" spans="1:27" s="1" customFormat="1">
      <c r="A805"/>
      <c r="B805"/>
      <c r="C805"/>
      <c r="D805"/>
      <c r="E805"/>
      <c r="F805"/>
      <c r="G805"/>
      <c r="H805"/>
      <c r="I805"/>
      <c r="J805" s="3"/>
      <c r="K805" s="2"/>
      <c r="L805" s="14"/>
      <c r="M805" s="14"/>
      <c r="N805" s="14"/>
      <c r="O805" s="12"/>
      <c r="P805" s="12"/>
      <c r="Q805" s="12"/>
      <c r="R805" s="14"/>
      <c r="S805" s="14"/>
      <c r="T805" s="12"/>
      <c r="U805" s="2"/>
      <c r="V805" s="12"/>
      <c r="W805" s="2"/>
      <c r="X805" s="2"/>
      <c r="Y805" s="2"/>
      <c r="Z805" s="2"/>
      <c r="AA805" s="2"/>
    </row>
    <row r="806" spans="1:27" s="1" customFormat="1">
      <c r="A806"/>
      <c r="B806"/>
      <c r="C806"/>
      <c r="D806"/>
      <c r="E806"/>
      <c r="F806"/>
      <c r="G806"/>
      <c r="H806"/>
      <c r="I806"/>
      <c r="J806" s="3"/>
      <c r="K806" s="2"/>
      <c r="L806" s="12"/>
      <c r="M806" s="12"/>
      <c r="N806" s="12"/>
      <c r="O806" s="12"/>
      <c r="P806" s="12"/>
      <c r="Q806" s="12"/>
      <c r="R806" s="12"/>
      <c r="S806" s="12"/>
      <c r="T806" s="12"/>
      <c r="U806" s="13"/>
      <c r="V806" s="13"/>
      <c r="W806" s="12"/>
      <c r="X806" s="2"/>
      <c r="Y806" s="2"/>
      <c r="Z806" s="2"/>
      <c r="AA806" s="2"/>
    </row>
    <row r="807" spans="1:27" s="1" customFormat="1">
      <c r="A807"/>
      <c r="B807"/>
      <c r="C807"/>
      <c r="D807"/>
      <c r="E807"/>
      <c r="F807"/>
      <c r="G807"/>
      <c r="H807"/>
      <c r="I807"/>
      <c r="J807" s="3"/>
      <c r="K807" s="2"/>
      <c r="L807" s="10"/>
      <c r="M807" s="10"/>
      <c r="N807" s="9"/>
      <c r="O807" s="6"/>
      <c r="P807" s="8"/>
      <c r="Q807" s="6"/>
      <c r="R807" s="8"/>
      <c r="S807" s="6"/>
      <c r="T807" s="8"/>
      <c r="U807" s="7"/>
      <c r="V807" s="7"/>
      <c r="W807" s="6"/>
      <c r="X807" s="2"/>
      <c r="Y807" s="2"/>
      <c r="Z807" s="2"/>
      <c r="AA807" s="2"/>
    </row>
    <row r="808" spans="1:27" s="1" customFormat="1">
      <c r="A808"/>
      <c r="B808"/>
      <c r="C808"/>
      <c r="D808"/>
      <c r="E808"/>
      <c r="F808"/>
      <c r="G808"/>
      <c r="H808"/>
      <c r="I808"/>
      <c r="J808" s="3"/>
      <c r="K808" s="11"/>
      <c r="L808" s="10"/>
      <c r="M808" s="10"/>
      <c r="N808" s="9"/>
      <c r="O808" s="6"/>
      <c r="P808" s="8"/>
      <c r="Q808" s="6"/>
      <c r="R808" s="8"/>
      <c r="S808" s="6"/>
      <c r="T808" s="8"/>
      <c r="U808" s="7"/>
      <c r="V808" s="7"/>
      <c r="W808" s="6"/>
      <c r="X808" s="2"/>
      <c r="Y808" s="2"/>
      <c r="Z808" s="2"/>
      <c r="AA808" s="2"/>
    </row>
    <row r="809" spans="1:27" s="1" customFormat="1">
      <c r="A809"/>
      <c r="B809"/>
      <c r="C809"/>
      <c r="D809"/>
      <c r="E809"/>
      <c r="F809"/>
      <c r="G809"/>
      <c r="H809"/>
      <c r="I809"/>
      <c r="J809" s="3"/>
      <c r="K809" s="2"/>
      <c r="L809" s="10"/>
      <c r="M809" s="10"/>
      <c r="N809" s="9"/>
      <c r="O809" s="6"/>
      <c r="P809" s="8"/>
      <c r="Q809" s="6"/>
      <c r="R809" s="8"/>
      <c r="S809" s="6"/>
      <c r="T809" s="8"/>
      <c r="U809" s="7"/>
      <c r="V809" s="7"/>
      <c r="W809" s="6"/>
      <c r="X809" s="2"/>
      <c r="Y809" s="2"/>
      <c r="Z809" s="2"/>
      <c r="AA809" s="2"/>
    </row>
    <row r="810" spans="1:27" s="1" customFormat="1">
      <c r="A810"/>
      <c r="B810"/>
      <c r="C810"/>
      <c r="D810"/>
      <c r="E810"/>
      <c r="F810"/>
      <c r="G810"/>
      <c r="H810"/>
      <c r="I810"/>
      <c r="J810" s="3"/>
      <c r="K810" s="2"/>
      <c r="L810" s="10"/>
      <c r="M810" s="10"/>
      <c r="N810" s="9"/>
      <c r="O810" s="6"/>
      <c r="P810" s="8"/>
      <c r="Q810" s="6"/>
      <c r="R810" s="8"/>
      <c r="S810" s="6"/>
      <c r="T810" s="8"/>
      <c r="U810" s="7"/>
      <c r="V810" s="7"/>
      <c r="W810" s="6"/>
      <c r="X810" s="2"/>
      <c r="Y810" s="2"/>
      <c r="Z810" s="2"/>
      <c r="AA810" s="2"/>
    </row>
    <row r="811" spans="1:27" s="1" customFormat="1">
      <c r="A811"/>
      <c r="B811"/>
      <c r="C811"/>
      <c r="D811"/>
      <c r="E811"/>
      <c r="F811"/>
      <c r="G811"/>
      <c r="H811"/>
      <c r="I811"/>
      <c r="J811" s="3"/>
      <c r="K811" s="2"/>
      <c r="L811" s="2"/>
      <c r="M811" s="2"/>
      <c r="N811" s="2"/>
      <c r="O811" s="6"/>
      <c r="P811" s="8"/>
      <c r="Q811" s="6"/>
      <c r="R811" s="8"/>
      <c r="S811" s="6"/>
      <c r="T811" s="8"/>
      <c r="U811" s="7"/>
      <c r="V811" s="7"/>
      <c r="W811" s="6"/>
      <c r="X811" s="2"/>
      <c r="Y811" s="2"/>
      <c r="Z811" s="2"/>
      <c r="AA811" s="2"/>
    </row>
    <row r="812" spans="1:27" s="1" customFormat="1">
      <c r="A812"/>
      <c r="B812"/>
      <c r="C812"/>
      <c r="D812"/>
      <c r="E812"/>
      <c r="F812"/>
      <c r="G812"/>
      <c r="H812"/>
      <c r="I812"/>
      <c r="J812" s="3"/>
      <c r="K812" s="2"/>
      <c r="L812" s="2"/>
      <c r="M812" s="2"/>
      <c r="N812" s="2"/>
      <c r="O812" s="5"/>
      <c r="P812" s="4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</row>
    <row r="813" spans="1:27" s="1" customFormat="1">
      <c r="A813"/>
      <c r="B813"/>
      <c r="C813"/>
      <c r="D813"/>
      <c r="E813"/>
      <c r="F813"/>
      <c r="G813"/>
      <c r="H813"/>
      <c r="I813"/>
      <c r="J813" s="3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</row>
    <row r="814" spans="1:27" s="1" customFormat="1">
      <c r="A814"/>
      <c r="B814"/>
      <c r="C814"/>
      <c r="D814"/>
      <c r="E814"/>
      <c r="F814"/>
      <c r="G814"/>
      <c r="H814"/>
      <c r="I814"/>
      <c r="J814" s="3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</row>
    <row r="815" spans="1:27" s="1" customFormat="1">
      <c r="A815"/>
      <c r="B815"/>
      <c r="C815"/>
      <c r="D815"/>
      <c r="E815"/>
      <c r="F815"/>
      <c r="G815"/>
      <c r="H815"/>
      <c r="I815"/>
      <c r="J815" s="3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</row>
    <row r="816" spans="1:27" s="1" customFormat="1">
      <c r="A816"/>
      <c r="B816"/>
      <c r="C816"/>
      <c r="D816"/>
      <c r="E816"/>
      <c r="F816"/>
      <c r="G816"/>
      <c r="H816"/>
      <c r="I816"/>
      <c r="J816" s="3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</row>
    <row r="817" spans="1:27" s="1" customFormat="1">
      <c r="A817"/>
      <c r="B817"/>
      <c r="C817"/>
      <c r="D817"/>
      <c r="E817"/>
      <c r="F817"/>
      <c r="G817"/>
      <c r="H817"/>
      <c r="I817"/>
      <c r="J817" s="3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</row>
    <row r="818" spans="1:27" s="1" customFormat="1">
      <c r="A818"/>
      <c r="B818"/>
      <c r="C818"/>
      <c r="D818"/>
      <c r="E818"/>
      <c r="F818"/>
      <c r="G818"/>
      <c r="H818"/>
      <c r="I818"/>
      <c r="J818" s="3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</row>
    <row r="819" spans="1:27" s="1" customFormat="1">
      <c r="A819"/>
      <c r="B819"/>
      <c r="C819"/>
      <c r="D819"/>
      <c r="E819"/>
      <c r="F819"/>
      <c r="G819"/>
      <c r="H819"/>
      <c r="I819"/>
      <c r="J819" s="3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</row>
    <row r="820" spans="1:27" s="1" customFormat="1">
      <c r="A820"/>
      <c r="B820"/>
      <c r="C820"/>
      <c r="D820"/>
      <c r="E820"/>
      <c r="F820"/>
      <c r="G820"/>
      <c r="H820"/>
      <c r="I820"/>
      <c r="J820" s="3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</row>
    <row r="821" spans="1:27" s="1" customFormat="1">
      <c r="A821"/>
      <c r="B821"/>
      <c r="C821"/>
      <c r="D821"/>
      <c r="E821"/>
      <c r="F821"/>
      <c r="G821"/>
      <c r="H821"/>
      <c r="I821"/>
      <c r="J821" s="3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</row>
    <row r="822" spans="1:27" s="1" customFormat="1">
      <c r="A822"/>
      <c r="B822"/>
      <c r="C822"/>
      <c r="D822"/>
      <c r="E822"/>
      <c r="F822"/>
      <c r="G822"/>
      <c r="H822"/>
      <c r="I822"/>
      <c r="J822" s="3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</row>
    <row r="823" spans="1:27" s="1" customFormat="1">
      <c r="A823"/>
      <c r="B823"/>
      <c r="C823"/>
      <c r="D823"/>
      <c r="E823"/>
      <c r="F823"/>
      <c r="G823"/>
      <c r="H823"/>
      <c r="I823"/>
      <c r="J823" s="3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</row>
    <row r="824" spans="1:27" s="1" customFormat="1">
      <c r="A824"/>
      <c r="B824"/>
      <c r="C824"/>
      <c r="D824"/>
      <c r="E824"/>
      <c r="F824"/>
      <c r="G824"/>
      <c r="H824"/>
      <c r="I824"/>
      <c r="J824" s="3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</row>
    <row r="825" spans="1:27" s="1" customFormat="1">
      <c r="A825"/>
      <c r="B825"/>
      <c r="C825"/>
      <c r="D825"/>
      <c r="E825"/>
      <c r="F825"/>
      <c r="G825"/>
      <c r="H825"/>
      <c r="I825"/>
      <c r="J825" s="3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</row>
    <row r="826" spans="1:27" s="1" customFormat="1">
      <c r="A826"/>
      <c r="B826"/>
      <c r="C826"/>
      <c r="D826"/>
      <c r="E826"/>
      <c r="F826"/>
      <c r="G826"/>
      <c r="H826"/>
      <c r="I826"/>
      <c r="J826" s="3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</row>
    <row r="827" spans="1:27" s="1" customFormat="1">
      <c r="A827"/>
      <c r="B827"/>
      <c r="C827"/>
      <c r="D827"/>
      <c r="E827"/>
      <c r="F827"/>
      <c r="G827"/>
      <c r="H827"/>
      <c r="I827"/>
      <c r="J827" s="3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</row>
    <row r="828" spans="1:27" s="1" customFormat="1">
      <c r="A828"/>
      <c r="B828"/>
      <c r="C828"/>
      <c r="D828"/>
      <c r="E828"/>
      <c r="F828"/>
      <c r="G828"/>
      <c r="H828"/>
      <c r="I828"/>
      <c r="J828" s="3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</row>
    <row r="829" spans="1:27" s="1" customFormat="1">
      <c r="A829"/>
      <c r="B829"/>
      <c r="C829"/>
      <c r="D829"/>
      <c r="E829"/>
      <c r="F829"/>
      <c r="G829"/>
      <c r="H829"/>
      <c r="I829"/>
      <c r="J829" s="3"/>
      <c r="K829" s="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2"/>
      <c r="Y829" s="2"/>
      <c r="Z829" s="2"/>
      <c r="AA829" s="2"/>
    </row>
    <row r="830" spans="1:27" s="1" customFormat="1">
      <c r="A830"/>
      <c r="B830"/>
      <c r="C830"/>
      <c r="D830"/>
      <c r="E830"/>
      <c r="F830"/>
      <c r="G830"/>
      <c r="H830"/>
      <c r="I830"/>
      <c r="J830" s="3"/>
      <c r="K830" s="2"/>
      <c r="L830" s="14"/>
      <c r="M830" s="14"/>
      <c r="N830" s="14"/>
      <c r="O830" s="12"/>
      <c r="P830" s="12"/>
      <c r="Q830" s="12"/>
      <c r="R830" s="14"/>
      <c r="S830" s="14"/>
      <c r="T830" s="12"/>
      <c r="U830" s="2"/>
      <c r="V830" s="12"/>
      <c r="W830" s="2"/>
      <c r="X830" s="2"/>
      <c r="Y830" s="2"/>
      <c r="Z830" s="2"/>
      <c r="AA830" s="2"/>
    </row>
    <row r="831" spans="1:27" s="1" customFormat="1">
      <c r="A831"/>
      <c r="B831"/>
      <c r="C831"/>
      <c r="D831"/>
      <c r="E831"/>
      <c r="F831"/>
      <c r="G831"/>
      <c r="H831"/>
      <c r="I831"/>
      <c r="J831" s="3"/>
      <c r="K831" s="2"/>
      <c r="L831" s="12"/>
      <c r="M831" s="12"/>
      <c r="N831" s="12"/>
      <c r="O831" s="12"/>
      <c r="P831" s="12"/>
      <c r="Q831" s="12"/>
      <c r="R831" s="12"/>
      <c r="S831" s="12"/>
      <c r="T831" s="12"/>
      <c r="U831" s="13"/>
      <c r="V831" s="13"/>
      <c r="W831" s="12"/>
      <c r="X831" s="2"/>
      <c r="Y831" s="2"/>
      <c r="Z831" s="2"/>
      <c r="AA831" s="2"/>
    </row>
    <row r="832" spans="1:27" s="1" customFormat="1">
      <c r="A832"/>
      <c r="B832"/>
      <c r="C832"/>
      <c r="D832"/>
      <c r="E832"/>
      <c r="F832"/>
      <c r="G832"/>
      <c r="H832"/>
      <c r="I832"/>
      <c r="J832" s="3"/>
      <c r="K832" s="2"/>
      <c r="L832" s="10"/>
      <c r="M832" s="10"/>
      <c r="N832" s="9"/>
      <c r="O832" s="6"/>
      <c r="P832" s="8"/>
      <c r="Q832" s="6"/>
      <c r="R832" s="8"/>
      <c r="S832" s="6"/>
      <c r="T832" s="8"/>
      <c r="U832" s="7"/>
      <c r="V832" s="7"/>
      <c r="W832" s="6"/>
      <c r="X832" s="2"/>
      <c r="Y832" s="2"/>
      <c r="Z832" s="2"/>
      <c r="AA832" s="2"/>
    </row>
    <row r="833" spans="1:27" s="1" customFormat="1">
      <c r="A833"/>
      <c r="B833"/>
      <c r="C833"/>
      <c r="D833"/>
      <c r="E833"/>
      <c r="F833"/>
      <c r="G833"/>
      <c r="H833"/>
      <c r="I833"/>
      <c r="K833" s="11"/>
      <c r="L833" s="10"/>
      <c r="M833" s="10"/>
      <c r="N833" s="9"/>
      <c r="O833" s="6"/>
      <c r="P833" s="8"/>
      <c r="Q833" s="6"/>
      <c r="R833" s="8"/>
      <c r="S833" s="6"/>
      <c r="T833" s="8"/>
      <c r="U833" s="7"/>
      <c r="V833" s="7"/>
      <c r="W833" s="6"/>
      <c r="X833" s="2"/>
      <c r="Y833" s="2"/>
      <c r="Z833" s="2"/>
      <c r="AA833" s="2"/>
    </row>
    <row r="834" spans="1:27" s="1" customFormat="1">
      <c r="A834"/>
      <c r="B834"/>
      <c r="C834"/>
      <c r="D834"/>
      <c r="E834"/>
      <c r="F834"/>
      <c r="G834"/>
      <c r="H834"/>
      <c r="I834"/>
      <c r="K834" s="2"/>
      <c r="L834" s="10"/>
      <c r="M834" s="10"/>
      <c r="N834" s="9"/>
      <c r="O834" s="6"/>
      <c r="P834" s="8"/>
      <c r="Q834" s="6"/>
      <c r="R834" s="8"/>
      <c r="S834" s="6"/>
      <c r="T834" s="8"/>
      <c r="U834" s="7"/>
      <c r="V834" s="7"/>
      <c r="W834" s="6"/>
      <c r="X834" s="2"/>
      <c r="Y834" s="2"/>
      <c r="Z834" s="2"/>
      <c r="AA834" s="2"/>
    </row>
    <row r="835" spans="1:27" s="1" customFormat="1">
      <c r="A835"/>
      <c r="B835"/>
      <c r="C835"/>
      <c r="D835"/>
      <c r="E835"/>
      <c r="F835"/>
      <c r="G835"/>
      <c r="H835"/>
      <c r="I835"/>
      <c r="K835" s="2"/>
      <c r="L835" s="10"/>
      <c r="M835" s="10"/>
      <c r="N835" s="9"/>
      <c r="O835" s="6"/>
      <c r="P835" s="8"/>
      <c r="Q835" s="6"/>
      <c r="R835" s="8"/>
      <c r="S835" s="6"/>
      <c r="T835" s="8"/>
      <c r="U835" s="7"/>
      <c r="V835" s="7"/>
      <c r="W835" s="6"/>
      <c r="X835" s="2"/>
      <c r="Y835" s="2"/>
      <c r="Z835" s="2"/>
      <c r="AA835" s="2"/>
    </row>
    <row r="836" spans="1:27" s="1" customFormat="1">
      <c r="A836"/>
      <c r="B836"/>
      <c r="C836"/>
      <c r="D836"/>
      <c r="E836"/>
      <c r="F836"/>
      <c r="G836"/>
      <c r="H836"/>
      <c r="I836"/>
      <c r="K836" s="2"/>
      <c r="L836" s="2"/>
      <c r="M836" s="2"/>
      <c r="N836" s="2"/>
      <c r="O836" s="6"/>
      <c r="P836" s="8"/>
      <c r="Q836" s="6"/>
      <c r="R836" s="8"/>
      <c r="S836" s="6"/>
      <c r="T836" s="8"/>
      <c r="U836" s="7"/>
      <c r="V836" s="7"/>
      <c r="W836" s="6"/>
      <c r="X836" s="2"/>
      <c r="Y836" s="2"/>
      <c r="Z836" s="2"/>
      <c r="AA836" s="2"/>
    </row>
    <row r="837" spans="1:27" s="1" customFormat="1">
      <c r="A837"/>
      <c r="B837"/>
      <c r="C837"/>
      <c r="D837"/>
      <c r="E837"/>
      <c r="F837"/>
      <c r="G837"/>
      <c r="H837"/>
      <c r="I837"/>
      <c r="K837" s="2"/>
      <c r="L837" s="2"/>
      <c r="M837" s="2"/>
      <c r="N837" s="2"/>
      <c r="O837" s="5"/>
      <c r="P837" s="4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</row>
    <row r="838" spans="1:27" s="1" customFormat="1">
      <c r="A838"/>
      <c r="B838"/>
      <c r="C838"/>
      <c r="D838"/>
      <c r="E838"/>
      <c r="F838"/>
      <c r="G838"/>
      <c r="H838"/>
      <c r="I838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</row>
    <row r="839" spans="1:27" s="1" customFormat="1">
      <c r="A839"/>
      <c r="B839"/>
      <c r="C839"/>
      <c r="D839"/>
      <c r="E839"/>
      <c r="F839"/>
      <c r="G839"/>
      <c r="H839"/>
      <c r="I839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</row>
    <row r="840" spans="1:27" s="1" customFormat="1">
      <c r="A840"/>
      <c r="B840"/>
      <c r="C840"/>
      <c r="D840"/>
      <c r="E840"/>
      <c r="F840"/>
      <c r="G840"/>
      <c r="H840"/>
      <c r="I840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</row>
    <row r="841" spans="1:27" s="1" customFormat="1">
      <c r="A841"/>
      <c r="B841"/>
      <c r="C841"/>
      <c r="D841"/>
      <c r="E841"/>
      <c r="F841"/>
      <c r="G841"/>
      <c r="H841"/>
      <c r="I841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</row>
    <row r="842" spans="1:27" s="1" customFormat="1">
      <c r="A842"/>
      <c r="B842"/>
      <c r="C842"/>
      <c r="D842"/>
      <c r="E842"/>
      <c r="F842"/>
      <c r="G842"/>
      <c r="H842"/>
      <c r="I84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</row>
    <row r="843" spans="1:27" s="1" customFormat="1">
      <c r="A843"/>
      <c r="B843"/>
      <c r="C843"/>
      <c r="D843"/>
      <c r="E843"/>
      <c r="F843"/>
      <c r="G843"/>
      <c r="H843"/>
      <c r="I843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</row>
    <row r="844" spans="1:27" s="1" customFormat="1">
      <c r="A844"/>
      <c r="B844"/>
      <c r="C844"/>
      <c r="D844"/>
      <c r="E844"/>
      <c r="F844"/>
      <c r="G844"/>
      <c r="H844"/>
      <c r="I844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</row>
    <row r="845" spans="1:27" s="1" customFormat="1">
      <c r="A845"/>
      <c r="B845"/>
      <c r="C845"/>
      <c r="D845"/>
      <c r="E845"/>
      <c r="F845"/>
      <c r="G845"/>
      <c r="H845"/>
      <c r="I845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</row>
    <row r="846" spans="1:27" s="1" customFormat="1">
      <c r="A846"/>
      <c r="B846"/>
      <c r="C846"/>
      <c r="D846"/>
      <c r="E846"/>
      <c r="F846"/>
      <c r="G846"/>
      <c r="H846"/>
      <c r="I846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</row>
    <row r="847" spans="1:27" s="1" customFormat="1">
      <c r="A847"/>
      <c r="B847"/>
      <c r="C847"/>
      <c r="D847"/>
      <c r="E847"/>
      <c r="F847"/>
      <c r="G847"/>
      <c r="H847"/>
      <c r="I847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</row>
    <row r="848" spans="1:27" s="1" customFormat="1">
      <c r="A848"/>
      <c r="B848"/>
      <c r="C848"/>
      <c r="D848"/>
      <c r="E848"/>
      <c r="F848"/>
      <c r="G848"/>
      <c r="H848"/>
      <c r="I848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</row>
    <row r="849" spans="1:27" s="1" customFormat="1">
      <c r="A849"/>
      <c r="B849"/>
      <c r="C849"/>
      <c r="D849"/>
      <c r="E849"/>
      <c r="F849"/>
      <c r="G849"/>
      <c r="H849"/>
      <c r="I849"/>
      <c r="J849" s="3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</row>
    <row r="850" spans="1:27" s="1" customFormat="1">
      <c r="A850"/>
      <c r="B850"/>
      <c r="C850"/>
      <c r="D850"/>
      <c r="E850"/>
      <c r="F850"/>
      <c r="G850"/>
      <c r="H850"/>
      <c r="I850"/>
      <c r="J850" s="3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</row>
    <row r="851" spans="1:27" s="1" customFormat="1">
      <c r="A851"/>
      <c r="B851"/>
      <c r="C851"/>
      <c r="D851"/>
      <c r="E851"/>
      <c r="F851"/>
      <c r="G851"/>
      <c r="H851"/>
      <c r="I851"/>
      <c r="J851" s="3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</row>
    <row r="852" spans="1:27" s="1" customFormat="1">
      <c r="A852"/>
      <c r="B852"/>
      <c r="C852"/>
      <c r="D852"/>
      <c r="E852"/>
      <c r="F852"/>
      <c r="G852"/>
      <c r="H852"/>
      <c r="I852"/>
      <c r="J852" s="3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</row>
    <row r="853" spans="1:27" s="1" customFormat="1">
      <c r="A853"/>
      <c r="B853"/>
      <c r="C853"/>
      <c r="D853"/>
      <c r="E853"/>
      <c r="F853"/>
      <c r="G853"/>
      <c r="H853"/>
      <c r="I853"/>
      <c r="J853" s="3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</row>
    <row r="854" spans="1:27" s="1" customFormat="1">
      <c r="A854"/>
      <c r="B854"/>
      <c r="C854"/>
      <c r="D854"/>
      <c r="E854"/>
      <c r="F854"/>
      <c r="G854"/>
      <c r="H854"/>
      <c r="I854"/>
      <c r="J854" s="3"/>
      <c r="K854" s="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2"/>
      <c r="Y854" s="2"/>
      <c r="Z854" s="2"/>
      <c r="AA854" s="2"/>
    </row>
    <row r="855" spans="1:27" s="1" customFormat="1">
      <c r="A855"/>
      <c r="B855"/>
      <c r="C855"/>
      <c r="D855"/>
      <c r="E855"/>
      <c r="F855"/>
      <c r="G855"/>
      <c r="H855"/>
      <c r="I855"/>
      <c r="J855" s="3"/>
      <c r="K855" s="2"/>
      <c r="L855" s="14"/>
      <c r="M855" s="14"/>
      <c r="N855" s="14"/>
      <c r="O855" s="12"/>
      <c r="P855" s="12"/>
      <c r="Q855" s="12"/>
      <c r="R855" s="14"/>
      <c r="S855" s="14"/>
      <c r="T855" s="12"/>
      <c r="U855" s="2"/>
      <c r="V855" s="12"/>
      <c r="W855" s="2"/>
      <c r="X855" s="2"/>
      <c r="Y855" s="2"/>
      <c r="Z855" s="2"/>
      <c r="AA855" s="2"/>
    </row>
    <row r="856" spans="1:27" s="1" customFormat="1">
      <c r="A856"/>
      <c r="B856"/>
      <c r="C856"/>
      <c r="D856"/>
      <c r="E856"/>
      <c r="F856"/>
      <c r="G856"/>
      <c r="H856"/>
      <c r="I856"/>
      <c r="J856" s="3"/>
      <c r="K856" s="2"/>
      <c r="L856" s="12"/>
      <c r="M856" s="12"/>
      <c r="N856" s="12"/>
      <c r="O856" s="12"/>
      <c r="P856" s="12"/>
      <c r="Q856" s="12"/>
      <c r="R856" s="12"/>
      <c r="S856" s="12"/>
      <c r="T856" s="12"/>
      <c r="U856" s="13"/>
      <c r="V856" s="13"/>
      <c r="W856" s="12"/>
      <c r="X856" s="2"/>
      <c r="Y856" s="2"/>
      <c r="Z856" s="2"/>
      <c r="AA856" s="2"/>
    </row>
    <row r="857" spans="1:27" s="1" customFormat="1">
      <c r="A857"/>
      <c r="B857"/>
      <c r="C857"/>
      <c r="D857"/>
      <c r="E857"/>
      <c r="F857"/>
      <c r="G857"/>
      <c r="H857"/>
      <c r="I857"/>
      <c r="J857" s="3"/>
      <c r="K857" s="2"/>
      <c r="L857" s="10"/>
      <c r="M857" s="10"/>
      <c r="N857" s="9"/>
      <c r="O857" s="6"/>
      <c r="P857" s="8"/>
      <c r="Q857" s="6"/>
      <c r="R857" s="8"/>
      <c r="S857" s="6"/>
      <c r="T857" s="8"/>
      <c r="U857" s="7"/>
      <c r="V857" s="7"/>
      <c r="W857" s="6"/>
      <c r="X857" s="2"/>
      <c r="Y857" s="2"/>
      <c r="Z857" s="2"/>
      <c r="AA857" s="2"/>
    </row>
    <row r="858" spans="1:27" s="1" customFormat="1">
      <c r="A858"/>
      <c r="B858"/>
      <c r="C858"/>
      <c r="D858"/>
      <c r="E858"/>
      <c r="F858"/>
      <c r="G858"/>
      <c r="H858"/>
      <c r="I858"/>
      <c r="J858" s="3"/>
      <c r="K858" s="11"/>
      <c r="L858" s="10"/>
      <c r="M858" s="10"/>
      <c r="N858" s="9"/>
      <c r="O858" s="6"/>
      <c r="P858" s="8"/>
      <c r="Q858" s="6"/>
      <c r="R858" s="8"/>
      <c r="S858" s="6"/>
      <c r="T858" s="8"/>
      <c r="U858" s="7"/>
      <c r="V858" s="7"/>
      <c r="W858" s="6"/>
      <c r="X858" s="2"/>
      <c r="Y858" s="2"/>
      <c r="Z858" s="2"/>
      <c r="AA858" s="2"/>
    </row>
    <row r="859" spans="1:27" s="1" customFormat="1">
      <c r="A859"/>
      <c r="B859"/>
      <c r="C859"/>
      <c r="D859"/>
      <c r="E859"/>
      <c r="F859"/>
      <c r="G859"/>
      <c r="H859"/>
      <c r="I859"/>
      <c r="J859" s="3"/>
      <c r="K859" s="2"/>
      <c r="L859" s="10"/>
      <c r="M859" s="10"/>
      <c r="N859" s="9"/>
      <c r="O859" s="6"/>
      <c r="P859" s="8"/>
      <c r="Q859" s="6"/>
      <c r="R859" s="8"/>
      <c r="S859" s="6"/>
      <c r="T859" s="8"/>
      <c r="U859" s="7"/>
      <c r="V859" s="7"/>
      <c r="W859" s="6"/>
      <c r="X859" s="2"/>
      <c r="Y859" s="2"/>
      <c r="Z859" s="2"/>
      <c r="AA859" s="2"/>
    </row>
    <row r="860" spans="1:27" s="1" customFormat="1">
      <c r="A860"/>
      <c r="B860"/>
      <c r="C860"/>
      <c r="D860"/>
      <c r="E860"/>
      <c r="F860"/>
      <c r="G860"/>
      <c r="H860"/>
      <c r="I860"/>
      <c r="J860" s="3"/>
      <c r="K860" s="2"/>
      <c r="L860" s="10"/>
      <c r="M860" s="10"/>
      <c r="N860" s="9"/>
      <c r="O860" s="6"/>
      <c r="P860" s="8"/>
      <c r="Q860" s="6"/>
      <c r="R860" s="8"/>
      <c r="S860" s="6"/>
      <c r="T860" s="8"/>
      <c r="U860" s="7"/>
      <c r="V860" s="7"/>
      <c r="W860" s="6"/>
      <c r="X860" s="2"/>
      <c r="Y860" s="2"/>
      <c r="Z860" s="2"/>
      <c r="AA860" s="2"/>
    </row>
    <row r="861" spans="1:27" s="1" customFormat="1">
      <c r="A861"/>
      <c r="B861"/>
      <c r="C861"/>
      <c r="D861"/>
      <c r="E861"/>
      <c r="F861"/>
      <c r="G861"/>
      <c r="H861"/>
      <c r="I861"/>
      <c r="J861" s="3"/>
      <c r="K861" s="2"/>
      <c r="L861" s="2"/>
      <c r="M861" s="2"/>
      <c r="N861" s="2"/>
      <c r="O861" s="6"/>
      <c r="P861" s="8"/>
      <c r="Q861" s="6"/>
      <c r="R861" s="8"/>
      <c r="S861" s="6"/>
      <c r="T861" s="8"/>
      <c r="U861" s="7"/>
      <c r="V861" s="7"/>
      <c r="W861" s="6"/>
      <c r="X861" s="2"/>
      <c r="Y861" s="2"/>
      <c r="Z861" s="2"/>
      <c r="AA861" s="2"/>
    </row>
    <row r="862" spans="1:27" s="1" customFormat="1">
      <c r="A862"/>
      <c r="B862"/>
      <c r="C862"/>
      <c r="D862"/>
      <c r="E862"/>
      <c r="F862"/>
      <c r="G862"/>
      <c r="H862"/>
      <c r="I862"/>
      <c r="J862" s="3"/>
      <c r="K862" s="2"/>
      <c r="L862" s="2"/>
      <c r="M862" s="2"/>
      <c r="N862" s="2"/>
      <c r="O862" s="5"/>
      <c r="P862" s="4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</row>
    <row r="863" spans="1:27" s="1" customFormat="1">
      <c r="A863"/>
      <c r="B863"/>
      <c r="C863"/>
      <c r="D863"/>
      <c r="E863"/>
      <c r="F863"/>
      <c r="G863"/>
      <c r="H863"/>
      <c r="I863"/>
      <c r="J863" s="3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</row>
    <row r="864" spans="1:27" s="1" customFormat="1">
      <c r="A864"/>
      <c r="B864"/>
      <c r="C864"/>
      <c r="D864"/>
      <c r="E864"/>
      <c r="F864"/>
      <c r="G864"/>
      <c r="H864"/>
      <c r="I864"/>
      <c r="J864" s="3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</row>
    <row r="865" spans="1:27" s="1" customFormat="1">
      <c r="A865"/>
      <c r="B865"/>
      <c r="C865"/>
      <c r="D865"/>
      <c r="E865"/>
      <c r="F865"/>
      <c r="G865"/>
      <c r="H865"/>
      <c r="I865"/>
      <c r="J865" s="3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</row>
    <row r="866" spans="1:27" s="1" customFormat="1">
      <c r="A866"/>
      <c r="B866"/>
      <c r="C866"/>
      <c r="D866"/>
      <c r="E866"/>
      <c r="F866"/>
      <c r="G866"/>
      <c r="H866"/>
      <c r="I866"/>
      <c r="J866" s="3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</row>
    <row r="867" spans="1:27" s="1" customFormat="1">
      <c r="A867"/>
      <c r="B867"/>
      <c r="C867"/>
      <c r="D867"/>
      <c r="E867"/>
      <c r="F867"/>
      <c r="G867"/>
      <c r="H867"/>
      <c r="I867"/>
      <c r="J867" s="3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</row>
    <row r="868" spans="1:27" s="1" customFormat="1">
      <c r="A868"/>
      <c r="B868"/>
      <c r="C868"/>
      <c r="D868"/>
      <c r="E868"/>
      <c r="F868"/>
      <c r="G868"/>
      <c r="H868"/>
      <c r="I868"/>
      <c r="J868" s="3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</row>
    <row r="869" spans="1:27" s="1" customFormat="1">
      <c r="A869"/>
      <c r="B869"/>
      <c r="C869"/>
      <c r="D869"/>
      <c r="E869"/>
      <c r="F869"/>
      <c r="G869"/>
      <c r="H869"/>
      <c r="I869"/>
      <c r="J869" s="3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</row>
    <row r="870" spans="1:27" s="1" customFormat="1">
      <c r="A870"/>
      <c r="B870"/>
      <c r="C870"/>
      <c r="D870"/>
      <c r="E870"/>
      <c r="F870"/>
      <c r="G870"/>
      <c r="H870"/>
      <c r="I870"/>
      <c r="J870" s="3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</row>
    <row r="871" spans="1:27" s="1" customFormat="1">
      <c r="A871"/>
      <c r="B871"/>
      <c r="C871"/>
      <c r="D871"/>
      <c r="E871"/>
      <c r="F871"/>
      <c r="G871"/>
      <c r="H871"/>
      <c r="I871"/>
      <c r="J871" s="3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</row>
    <row r="872" spans="1:27" s="1" customFormat="1">
      <c r="A872"/>
      <c r="B872"/>
      <c r="C872"/>
      <c r="D872"/>
      <c r="E872"/>
      <c r="F872"/>
      <c r="G872"/>
      <c r="H872"/>
      <c r="I872"/>
      <c r="J872" s="3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</row>
    <row r="873" spans="1:27" s="1" customFormat="1">
      <c r="A873"/>
      <c r="B873"/>
      <c r="C873"/>
      <c r="D873"/>
      <c r="E873"/>
      <c r="F873"/>
      <c r="G873"/>
      <c r="H873"/>
      <c r="I873"/>
      <c r="J873" s="3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</row>
    <row r="874" spans="1:27" s="1" customFormat="1">
      <c r="A874"/>
      <c r="B874"/>
      <c r="C874"/>
      <c r="D874"/>
      <c r="E874"/>
      <c r="F874"/>
      <c r="G874"/>
      <c r="H874"/>
      <c r="I874"/>
      <c r="J874" s="3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</row>
    <row r="875" spans="1:27" s="1" customFormat="1">
      <c r="A875"/>
      <c r="B875"/>
      <c r="C875"/>
      <c r="D875"/>
      <c r="E875"/>
      <c r="F875"/>
      <c r="G875"/>
      <c r="H875"/>
      <c r="I875"/>
      <c r="J875" s="3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</row>
    <row r="876" spans="1:27" s="1" customFormat="1">
      <c r="A876"/>
      <c r="B876"/>
      <c r="C876"/>
      <c r="D876"/>
      <c r="E876"/>
      <c r="F876"/>
      <c r="G876"/>
      <c r="H876"/>
      <c r="I876"/>
      <c r="J876" s="3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</row>
    <row r="877" spans="1:27" s="1" customFormat="1">
      <c r="A877"/>
      <c r="B877"/>
      <c r="C877"/>
      <c r="D877"/>
      <c r="E877"/>
      <c r="F877"/>
      <c r="G877"/>
      <c r="H877"/>
      <c r="I877"/>
      <c r="J877" s="3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</row>
    <row r="878" spans="1:27" s="1" customFormat="1">
      <c r="A878"/>
      <c r="B878"/>
      <c r="C878"/>
      <c r="D878"/>
      <c r="E878"/>
      <c r="F878"/>
      <c r="G878"/>
      <c r="H878"/>
      <c r="I878"/>
      <c r="J878" s="3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</row>
    <row r="879" spans="1:27" s="1" customFormat="1">
      <c r="A879"/>
      <c r="B879"/>
      <c r="C879"/>
      <c r="D879"/>
      <c r="E879"/>
      <c r="F879"/>
      <c r="G879"/>
      <c r="H879"/>
      <c r="I879"/>
      <c r="J879" s="3"/>
      <c r="K879" s="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2"/>
      <c r="Y879" s="2"/>
      <c r="Z879" s="2"/>
      <c r="AA879" s="2"/>
    </row>
    <row r="880" spans="1:27" s="1" customFormat="1">
      <c r="A880"/>
      <c r="B880"/>
      <c r="C880"/>
      <c r="D880"/>
      <c r="E880"/>
      <c r="F880"/>
      <c r="G880"/>
      <c r="H880"/>
      <c r="I880"/>
      <c r="J880" s="3"/>
      <c r="K880" s="2"/>
      <c r="L880" s="14"/>
      <c r="M880" s="14"/>
      <c r="N880" s="14"/>
      <c r="O880" s="12"/>
      <c r="P880" s="12"/>
      <c r="Q880" s="12"/>
      <c r="R880" s="14"/>
      <c r="S880" s="14"/>
      <c r="T880" s="12"/>
      <c r="U880" s="2"/>
      <c r="V880" s="12"/>
      <c r="W880" s="2"/>
      <c r="X880" s="2"/>
      <c r="Y880" s="2"/>
      <c r="Z880" s="2"/>
      <c r="AA880" s="2"/>
    </row>
    <row r="881" spans="1:27" s="1" customFormat="1">
      <c r="A881"/>
      <c r="B881"/>
      <c r="C881"/>
      <c r="D881"/>
      <c r="E881"/>
      <c r="F881"/>
      <c r="G881"/>
      <c r="H881"/>
      <c r="I881"/>
      <c r="J881" s="3"/>
      <c r="K881" s="2"/>
      <c r="L881" s="12"/>
      <c r="M881" s="12"/>
      <c r="N881" s="12"/>
      <c r="O881" s="12"/>
      <c r="P881" s="12"/>
      <c r="Q881" s="12"/>
      <c r="R881" s="12"/>
      <c r="S881" s="12"/>
      <c r="T881" s="12"/>
      <c r="U881" s="13"/>
      <c r="V881" s="13"/>
      <c r="W881" s="12"/>
      <c r="X881" s="2"/>
      <c r="Y881" s="2"/>
      <c r="Z881" s="2"/>
      <c r="AA881" s="2"/>
    </row>
    <row r="882" spans="1:27" s="1" customFormat="1">
      <c r="A882"/>
      <c r="B882"/>
      <c r="C882"/>
      <c r="D882"/>
      <c r="E882"/>
      <c r="F882"/>
      <c r="G882"/>
      <c r="H882"/>
      <c r="I882"/>
      <c r="J882" s="3"/>
      <c r="K882" s="2"/>
      <c r="L882" s="10"/>
      <c r="M882" s="10"/>
      <c r="N882" s="9"/>
      <c r="O882" s="6"/>
      <c r="P882" s="8"/>
      <c r="Q882" s="6"/>
      <c r="R882" s="8"/>
      <c r="S882" s="6"/>
      <c r="T882" s="8"/>
      <c r="U882" s="7"/>
      <c r="V882" s="7"/>
      <c r="W882" s="6"/>
      <c r="X882" s="2"/>
      <c r="Y882" s="2"/>
      <c r="Z882" s="2"/>
      <c r="AA882" s="2"/>
    </row>
    <row r="883" spans="1:27" s="1" customFormat="1">
      <c r="A883"/>
      <c r="B883"/>
      <c r="C883"/>
      <c r="D883"/>
      <c r="E883"/>
      <c r="F883"/>
      <c r="G883"/>
      <c r="H883"/>
      <c r="I883"/>
      <c r="J883" s="3"/>
      <c r="K883" s="11"/>
      <c r="L883" s="10"/>
      <c r="M883" s="10"/>
      <c r="N883" s="9"/>
      <c r="O883" s="6"/>
      <c r="P883" s="8"/>
      <c r="Q883" s="6"/>
      <c r="R883" s="8"/>
      <c r="S883" s="6"/>
      <c r="T883" s="8"/>
      <c r="U883" s="7"/>
      <c r="V883" s="7"/>
      <c r="W883" s="6"/>
      <c r="X883" s="2"/>
      <c r="Y883" s="2"/>
      <c r="Z883" s="2"/>
      <c r="AA883" s="2"/>
    </row>
    <row r="884" spans="1:27" s="1" customFormat="1">
      <c r="A884"/>
      <c r="B884"/>
      <c r="C884"/>
      <c r="D884"/>
      <c r="E884"/>
      <c r="F884"/>
      <c r="G884"/>
      <c r="H884"/>
      <c r="I884"/>
      <c r="J884" s="3"/>
      <c r="K884" s="2"/>
      <c r="L884" s="10"/>
      <c r="M884" s="10"/>
      <c r="N884" s="9"/>
      <c r="O884" s="6"/>
      <c r="P884" s="8"/>
      <c r="Q884" s="6"/>
      <c r="R884" s="8"/>
      <c r="S884" s="6"/>
      <c r="T884" s="8"/>
      <c r="U884" s="7"/>
      <c r="V884" s="7"/>
      <c r="W884" s="6"/>
      <c r="X884" s="2"/>
      <c r="Y884" s="2"/>
      <c r="Z884" s="2"/>
      <c r="AA884" s="2"/>
    </row>
    <row r="885" spans="1:27" s="1" customFormat="1">
      <c r="A885"/>
      <c r="B885"/>
      <c r="C885"/>
      <c r="D885"/>
      <c r="E885"/>
      <c r="F885"/>
      <c r="G885"/>
      <c r="H885"/>
      <c r="I885"/>
      <c r="J885" s="3"/>
      <c r="K885" s="2"/>
      <c r="L885" s="10"/>
      <c r="M885" s="10"/>
      <c r="N885" s="9"/>
      <c r="O885" s="6"/>
      <c r="P885" s="8"/>
      <c r="Q885" s="6"/>
      <c r="R885" s="8"/>
      <c r="S885" s="6"/>
      <c r="T885" s="8"/>
      <c r="U885" s="7"/>
      <c r="V885" s="7"/>
      <c r="W885" s="6"/>
      <c r="X885" s="2"/>
      <c r="Y885" s="2"/>
      <c r="Z885" s="2"/>
      <c r="AA885" s="2"/>
    </row>
    <row r="886" spans="1:27" s="1" customFormat="1">
      <c r="A886"/>
      <c r="B886"/>
      <c r="C886"/>
      <c r="D886"/>
      <c r="E886"/>
      <c r="F886"/>
      <c r="G886"/>
      <c r="H886"/>
      <c r="I886"/>
      <c r="J886" s="3"/>
      <c r="K886" s="2"/>
      <c r="L886" s="2"/>
      <c r="M886" s="2"/>
      <c r="N886" s="2"/>
      <c r="O886" s="6"/>
      <c r="P886" s="8"/>
      <c r="Q886" s="6"/>
      <c r="R886" s="8"/>
      <c r="S886" s="6"/>
      <c r="T886" s="8"/>
      <c r="U886" s="7"/>
      <c r="V886" s="7"/>
      <c r="W886" s="6"/>
      <c r="X886" s="2"/>
      <c r="Y886" s="2"/>
      <c r="Z886" s="2"/>
      <c r="AA886" s="2"/>
    </row>
    <row r="887" spans="1:27" s="1" customFormat="1">
      <c r="A887"/>
      <c r="B887"/>
      <c r="C887"/>
      <c r="D887"/>
      <c r="E887"/>
      <c r="F887"/>
      <c r="G887"/>
      <c r="H887"/>
      <c r="I887"/>
      <c r="J887" s="3"/>
      <c r="K887" s="2"/>
      <c r="L887" s="2"/>
      <c r="M887" s="2"/>
      <c r="N887" s="2"/>
      <c r="O887" s="5"/>
      <c r="P887" s="4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</row>
    <row r="888" spans="1:27" s="1" customFormat="1">
      <c r="A888"/>
      <c r="B888"/>
      <c r="C888"/>
      <c r="D888"/>
      <c r="E888"/>
      <c r="F888"/>
      <c r="G888"/>
      <c r="H888"/>
      <c r="I888"/>
      <c r="J888" s="3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</row>
    <row r="889" spans="1:27" s="1" customFormat="1">
      <c r="A889"/>
      <c r="B889"/>
      <c r="C889"/>
      <c r="D889"/>
      <c r="E889"/>
      <c r="F889"/>
      <c r="G889"/>
      <c r="H889"/>
      <c r="I889"/>
      <c r="J889" s="3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</row>
    <row r="890" spans="1:27" s="1" customFormat="1">
      <c r="A890"/>
      <c r="B890"/>
      <c r="C890"/>
      <c r="D890"/>
      <c r="E890"/>
      <c r="F890"/>
      <c r="G890"/>
      <c r="H890"/>
      <c r="I890"/>
      <c r="J890" s="3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</row>
    <row r="891" spans="1:27" s="1" customFormat="1">
      <c r="A891"/>
      <c r="B891"/>
      <c r="C891"/>
      <c r="D891"/>
      <c r="E891"/>
      <c r="F891"/>
      <c r="G891"/>
      <c r="H891"/>
      <c r="I891"/>
      <c r="J891" s="3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</row>
    <row r="892" spans="1:27" s="1" customFormat="1">
      <c r="A892"/>
      <c r="B892"/>
      <c r="C892"/>
      <c r="D892"/>
      <c r="E892"/>
      <c r="F892"/>
      <c r="G892"/>
      <c r="H892"/>
      <c r="I892"/>
      <c r="J892" s="3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</row>
    <row r="893" spans="1:27" s="1" customFormat="1">
      <c r="A893"/>
      <c r="B893"/>
      <c r="C893"/>
      <c r="D893"/>
      <c r="E893"/>
      <c r="F893"/>
      <c r="G893"/>
      <c r="H893"/>
      <c r="I893"/>
      <c r="J893" s="3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</row>
    <row r="894" spans="1:27" s="1" customFormat="1">
      <c r="A894"/>
      <c r="B894"/>
      <c r="C894"/>
      <c r="D894"/>
      <c r="E894"/>
      <c r="F894"/>
      <c r="G894"/>
      <c r="H894"/>
      <c r="I894"/>
      <c r="J894" s="3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</row>
    <row r="895" spans="1:27" s="1" customFormat="1">
      <c r="A895"/>
      <c r="B895"/>
      <c r="C895"/>
      <c r="D895"/>
      <c r="E895"/>
      <c r="F895"/>
      <c r="G895"/>
      <c r="H895"/>
      <c r="I895"/>
      <c r="J895" s="3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</row>
    <row r="896" spans="1:27" s="1" customFormat="1">
      <c r="A896"/>
      <c r="B896"/>
      <c r="C896"/>
      <c r="D896"/>
      <c r="E896"/>
      <c r="F896"/>
      <c r="G896"/>
      <c r="H896"/>
      <c r="I896"/>
      <c r="J896" s="3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</row>
    <row r="897" spans="1:27" s="1" customFormat="1">
      <c r="A897"/>
      <c r="B897"/>
      <c r="C897"/>
      <c r="D897"/>
      <c r="E897"/>
      <c r="F897"/>
      <c r="G897"/>
      <c r="H897"/>
      <c r="I897"/>
      <c r="J897" s="3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</row>
    <row r="898" spans="1:27" s="1" customFormat="1">
      <c r="A898"/>
      <c r="B898"/>
      <c r="C898"/>
      <c r="D898"/>
      <c r="E898"/>
      <c r="F898"/>
      <c r="G898"/>
      <c r="H898"/>
      <c r="I898"/>
      <c r="J898" s="3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</row>
    <row r="899" spans="1:27" s="1" customFormat="1">
      <c r="A899"/>
      <c r="B899"/>
      <c r="C899"/>
      <c r="D899"/>
      <c r="E899"/>
      <c r="F899"/>
      <c r="G899"/>
      <c r="H899"/>
      <c r="I899"/>
      <c r="J899" s="3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</row>
    <row r="900" spans="1:27" s="1" customFormat="1">
      <c r="A900"/>
      <c r="B900"/>
      <c r="C900"/>
      <c r="D900"/>
      <c r="E900"/>
      <c r="F900"/>
      <c r="G900"/>
      <c r="H900"/>
      <c r="I900"/>
      <c r="J900" s="3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</row>
    <row r="901" spans="1:27" s="1" customFormat="1">
      <c r="A901"/>
      <c r="B901"/>
      <c r="C901"/>
      <c r="D901"/>
      <c r="E901"/>
      <c r="F901"/>
      <c r="G901"/>
      <c r="H901"/>
      <c r="I901"/>
      <c r="J901" s="3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</row>
    <row r="902" spans="1:27" s="1" customFormat="1">
      <c r="A902"/>
      <c r="B902"/>
      <c r="C902"/>
      <c r="D902"/>
      <c r="E902"/>
      <c r="F902"/>
      <c r="G902"/>
      <c r="H902"/>
      <c r="I902"/>
      <c r="J902" s="3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</row>
    <row r="903" spans="1:27" s="1" customFormat="1">
      <c r="A903"/>
      <c r="B903"/>
      <c r="C903"/>
      <c r="D903"/>
      <c r="E903"/>
      <c r="F903"/>
      <c r="G903"/>
      <c r="H903"/>
      <c r="I903"/>
      <c r="J903" s="3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</row>
    <row r="904" spans="1:27" s="1" customFormat="1">
      <c r="A904"/>
      <c r="B904"/>
      <c r="C904"/>
      <c r="D904"/>
      <c r="E904"/>
      <c r="F904"/>
      <c r="G904"/>
      <c r="H904"/>
      <c r="I904"/>
      <c r="J904" s="3"/>
      <c r="K904" s="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2"/>
      <c r="Y904" s="2"/>
      <c r="Z904" s="2"/>
      <c r="AA904" s="2"/>
    </row>
    <row r="905" spans="1:27" s="1" customFormat="1">
      <c r="A905"/>
      <c r="B905"/>
      <c r="C905"/>
      <c r="D905"/>
      <c r="E905"/>
      <c r="F905"/>
      <c r="G905"/>
      <c r="H905"/>
      <c r="I905"/>
      <c r="J905" s="3"/>
      <c r="K905" s="2"/>
      <c r="L905" s="14"/>
      <c r="M905" s="14"/>
      <c r="N905" s="14"/>
      <c r="O905" s="12"/>
      <c r="P905" s="12"/>
      <c r="Q905" s="12"/>
      <c r="R905" s="14"/>
      <c r="S905" s="14"/>
      <c r="T905" s="12"/>
      <c r="U905" s="2"/>
      <c r="V905" s="12"/>
      <c r="W905" s="2"/>
      <c r="X905" s="2"/>
      <c r="Y905" s="2"/>
      <c r="Z905" s="2"/>
      <c r="AA905" s="2"/>
    </row>
    <row r="906" spans="1:27" s="1" customFormat="1">
      <c r="A906"/>
      <c r="B906"/>
      <c r="C906"/>
      <c r="D906"/>
      <c r="E906"/>
      <c r="F906"/>
      <c r="G906"/>
      <c r="H906"/>
      <c r="I906"/>
      <c r="J906" s="3"/>
      <c r="K906" s="2"/>
      <c r="L906" s="12"/>
      <c r="M906" s="12"/>
      <c r="N906" s="12"/>
      <c r="O906" s="12"/>
      <c r="P906" s="12"/>
      <c r="Q906" s="12"/>
      <c r="R906" s="12"/>
      <c r="S906" s="12"/>
      <c r="T906" s="12"/>
      <c r="U906" s="13"/>
      <c r="V906" s="13"/>
      <c r="W906" s="12"/>
      <c r="X906" s="2"/>
      <c r="Y906" s="2"/>
      <c r="Z906" s="2"/>
      <c r="AA906" s="2"/>
    </row>
    <row r="907" spans="1:27" s="1" customFormat="1">
      <c r="A907"/>
      <c r="B907"/>
      <c r="C907"/>
      <c r="D907"/>
      <c r="E907"/>
      <c r="F907"/>
      <c r="G907"/>
      <c r="H907"/>
      <c r="I907"/>
      <c r="J907" s="3"/>
      <c r="K907" s="2"/>
      <c r="L907" s="10"/>
      <c r="M907" s="10"/>
      <c r="N907" s="9"/>
      <c r="O907" s="6"/>
      <c r="P907" s="8"/>
      <c r="Q907" s="6"/>
      <c r="R907" s="8"/>
      <c r="S907" s="6"/>
      <c r="T907" s="8"/>
      <c r="U907" s="7"/>
      <c r="V907" s="7"/>
      <c r="W907" s="6"/>
      <c r="X907" s="2"/>
      <c r="Y907" s="2"/>
      <c r="Z907" s="2"/>
      <c r="AA907" s="2"/>
    </row>
    <row r="908" spans="1:27" s="1" customFormat="1">
      <c r="A908"/>
      <c r="B908"/>
      <c r="C908"/>
      <c r="D908"/>
      <c r="E908"/>
      <c r="F908"/>
      <c r="G908"/>
      <c r="H908"/>
      <c r="I908"/>
      <c r="J908" s="3"/>
      <c r="K908" s="11"/>
      <c r="L908" s="10"/>
      <c r="M908" s="10"/>
      <c r="N908" s="9"/>
      <c r="O908" s="6"/>
      <c r="P908" s="8"/>
      <c r="Q908" s="6"/>
      <c r="R908" s="8"/>
      <c r="S908" s="6"/>
      <c r="T908" s="8"/>
      <c r="U908" s="7"/>
      <c r="V908" s="7"/>
      <c r="W908" s="6"/>
      <c r="X908" s="2"/>
      <c r="Y908" s="2"/>
      <c r="Z908" s="2"/>
      <c r="AA908" s="2"/>
    </row>
    <row r="909" spans="1:27" s="1" customFormat="1">
      <c r="A909"/>
      <c r="B909"/>
      <c r="C909"/>
      <c r="D909"/>
      <c r="E909"/>
      <c r="F909"/>
      <c r="G909"/>
      <c r="H909"/>
      <c r="I909"/>
      <c r="J909" s="3"/>
      <c r="K909" s="2"/>
      <c r="L909" s="10"/>
      <c r="M909" s="10"/>
      <c r="N909" s="9"/>
      <c r="O909" s="6"/>
      <c r="P909" s="8"/>
      <c r="Q909" s="6"/>
      <c r="R909" s="8"/>
      <c r="S909" s="6"/>
      <c r="T909" s="8"/>
      <c r="U909" s="7"/>
      <c r="V909" s="7"/>
      <c r="W909" s="6"/>
      <c r="X909" s="2"/>
      <c r="Y909" s="2"/>
      <c r="Z909" s="2"/>
      <c r="AA909" s="2"/>
    </row>
    <row r="910" spans="1:27" s="1" customFormat="1">
      <c r="A910"/>
      <c r="B910"/>
      <c r="C910"/>
      <c r="D910"/>
      <c r="E910"/>
      <c r="F910"/>
      <c r="G910"/>
      <c r="H910"/>
      <c r="I910"/>
      <c r="J910" s="3"/>
      <c r="K910" s="2"/>
      <c r="L910" s="10"/>
      <c r="M910" s="10"/>
      <c r="N910" s="9"/>
      <c r="O910" s="6"/>
      <c r="P910" s="8"/>
      <c r="Q910" s="6"/>
      <c r="R910" s="8"/>
      <c r="S910" s="6"/>
      <c r="T910" s="8"/>
      <c r="U910" s="7"/>
      <c r="V910" s="7"/>
      <c r="W910" s="6"/>
      <c r="X910" s="2"/>
      <c r="Y910" s="2"/>
      <c r="Z910" s="2"/>
      <c r="AA910" s="2"/>
    </row>
    <row r="911" spans="1:27" s="1" customFormat="1">
      <c r="A911"/>
      <c r="B911"/>
      <c r="C911"/>
      <c r="D911"/>
      <c r="E911"/>
      <c r="F911"/>
      <c r="G911"/>
      <c r="H911"/>
      <c r="I911"/>
      <c r="J911" s="3"/>
      <c r="K911" s="2"/>
      <c r="L911" s="2"/>
      <c r="M911" s="2"/>
      <c r="N911" s="2"/>
      <c r="O911" s="6"/>
      <c r="P911" s="8"/>
      <c r="Q911" s="6"/>
      <c r="R911" s="8"/>
      <c r="S911" s="6"/>
      <c r="T911" s="8"/>
      <c r="U911" s="7"/>
      <c r="V911" s="7"/>
      <c r="W911" s="6"/>
      <c r="X911" s="2"/>
      <c r="Y911" s="2"/>
      <c r="Z911" s="2"/>
      <c r="AA911" s="2"/>
    </row>
    <row r="912" spans="1:27" s="1" customFormat="1">
      <c r="A912"/>
      <c r="B912"/>
      <c r="C912"/>
      <c r="D912"/>
      <c r="E912"/>
      <c r="F912"/>
      <c r="G912"/>
      <c r="H912"/>
      <c r="I912"/>
      <c r="J912" s="3"/>
      <c r="K912" s="2"/>
      <c r="L912" s="2"/>
      <c r="M912" s="2"/>
      <c r="N912" s="2"/>
      <c r="O912" s="5"/>
      <c r="P912" s="4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</row>
    <row r="913" spans="1:27" s="1" customFormat="1">
      <c r="A913"/>
      <c r="B913"/>
      <c r="C913"/>
      <c r="D913"/>
      <c r="E913"/>
      <c r="F913"/>
      <c r="G913"/>
      <c r="H913"/>
      <c r="I913"/>
      <c r="J913" s="3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</row>
    <row r="914" spans="1:27" s="1" customFormat="1">
      <c r="A914"/>
      <c r="B914"/>
      <c r="C914"/>
      <c r="D914"/>
      <c r="E914"/>
      <c r="F914"/>
      <c r="G914"/>
      <c r="H914"/>
      <c r="I914"/>
      <c r="J914" s="3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</row>
    <row r="915" spans="1:27" s="1" customFormat="1">
      <c r="A915"/>
      <c r="B915"/>
      <c r="C915"/>
      <c r="D915"/>
      <c r="E915"/>
      <c r="F915"/>
      <c r="G915"/>
      <c r="H915"/>
      <c r="I915"/>
      <c r="J915" s="3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</row>
    <row r="916" spans="1:27" s="1" customFormat="1">
      <c r="A916"/>
      <c r="B916"/>
      <c r="C916"/>
      <c r="D916"/>
      <c r="E916"/>
      <c r="F916"/>
      <c r="G916"/>
      <c r="H916"/>
      <c r="I916"/>
      <c r="J916" s="3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</row>
    <row r="917" spans="1:27" s="1" customFormat="1">
      <c r="A917"/>
      <c r="B917"/>
      <c r="C917"/>
      <c r="D917"/>
      <c r="E917"/>
      <c r="F917"/>
      <c r="G917"/>
      <c r="H917"/>
      <c r="I917"/>
      <c r="J917" s="3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</row>
    <row r="918" spans="1:27" s="1" customFormat="1">
      <c r="A918"/>
      <c r="B918"/>
      <c r="C918"/>
      <c r="D918"/>
      <c r="E918"/>
      <c r="F918"/>
      <c r="G918"/>
      <c r="H918"/>
      <c r="I918"/>
      <c r="J918" s="3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</row>
    <row r="919" spans="1:27" s="1" customFormat="1">
      <c r="A919"/>
      <c r="B919"/>
      <c r="C919"/>
      <c r="D919"/>
      <c r="E919"/>
      <c r="F919"/>
      <c r="G919"/>
      <c r="H919"/>
      <c r="I919"/>
      <c r="J919" s="3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</row>
    <row r="920" spans="1:27" s="1" customFormat="1">
      <c r="A920"/>
      <c r="B920"/>
      <c r="C920"/>
      <c r="D920"/>
      <c r="E920"/>
      <c r="F920"/>
      <c r="G920"/>
      <c r="H920"/>
      <c r="I920"/>
      <c r="J920" s="3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</row>
    <row r="921" spans="1:27" s="1" customFormat="1">
      <c r="A921"/>
      <c r="B921"/>
      <c r="C921"/>
      <c r="D921"/>
      <c r="E921"/>
      <c r="F921"/>
      <c r="G921"/>
      <c r="H921"/>
      <c r="I921"/>
      <c r="J921" s="3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</row>
    <row r="922" spans="1:27" s="1" customFormat="1">
      <c r="A922"/>
      <c r="B922"/>
      <c r="C922"/>
      <c r="D922"/>
      <c r="E922"/>
      <c r="F922"/>
      <c r="G922"/>
      <c r="H922"/>
      <c r="I922"/>
      <c r="J922" s="3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</row>
    <row r="923" spans="1:27" s="1" customFormat="1">
      <c r="A923"/>
      <c r="B923"/>
      <c r="C923"/>
      <c r="D923"/>
      <c r="E923"/>
      <c r="F923"/>
      <c r="G923"/>
      <c r="H923"/>
      <c r="I923"/>
      <c r="J923" s="3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</row>
    <row r="924" spans="1:27" s="1" customFormat="1">
      <c r="A924"/>
      <c r="B924"/>
      <c r="C924"/>
      <c r="D924"/>
      <c r="E924"/>
      <c r="F924"/>
      <c r="G924"/>
      <c r="H924"/>
      <c r="I924"/>
      <c r="J924" s="3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</row>
    <row r="925" spans="1:27" s="1" customFormat="1">
      <c r="A925"/>
      <c r="B925"/>
      <c r="C925"/>
      <c r="D925"/>
      <c r="E925"/>
      <c r="F925"/>
      <c r="G925"/>
      <c r="H925"/>
      <c r="I925"/>
      <c r="J925" s="3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</row>
    <row r="926" spans="1:27" s="1" customFormat="1">
      <c r="A926"/>
      <c r="B926"/>
      <c r="C926"/>
      <c r="D926"/>
      <c r="E926"/>
      <c r="F926"/>
      <c r="G926"/>
      <c r="H926"/>
      <c r="I926"/>
      <c r="J926" s="3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</row>
    <row r="927" spans="1:27" s="1" customFormat="1">
      <c r="A927"/>
      <c r="B927"/>
      <c r="C927"/>
      <c r="D927"/>
      <c r="E927"/>
      <c r="F927"/>
      <c r="G927"/>
      <c r="H927"/>
      <c r="I927"/>
      <c r="J927" s="3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</row>
    <row r="928" spans="1:27" s="1" customFormat="1">
      <c r="A928"/>
      <c r="B928"/>
      <c r="C928"/>
      <c r="D928"/>
      <c r="E928"/>
      <c r="F928"/>
      <c r="G928"/>
      <c r="H928"/>
      <c r="I928"/>
      <c r="J928" s="3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</row>
    <row r="929" spans="1:27" s="1" customFormat="1">
      <c r="A929"/>
      <c r="B929"/>
      <c r="C929"/>
      <c r="D929"/>
      <c r="E929"/>
      <c r="F929"/>
      <c r="G929"/>
      <c r="H929"/>
      <c r="I929"/>
      <c r="J929" s="3"/>
      <c r="K929" s="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2"/>
      <c r="Y929" s="2"/>
      <c r="Z929" s="2"/>
      <c r="AA929" s="2"/>
    </row>
    <row r="930" spans="1:27" s="1" customFormat="1">
      <c r="A930"/>
      <c r="B930"/>
      <c r="C930"/>
      <c r="D930"/>
      <c r="E930"/>
      <c r="F930"/>
      <c r="G930"/>
      <c r="H930"/>
      <c r="I930"/>
      <c r="J930" s="3"/>
      <c r="K930" s="2"/>
      <c r="L930" s="14"/>
      <c r="M930" s="14"/>
      <c r="N930" s="14"/>
      <c r="O930" s="12"/>
      <c r="P930" s="12"/>
      <c r="Q930" s="12"/>
      <c r="R930" s="14"/>
      <c r="S930" s="14"/>
      <c r="T930" s="12"/>
      <c r="U930" s="2"/>
      <c r="V930" s="12"/>
      <c r="W930" s="2"/>
      <c r="X930" s="2"/>
      <c r="Y930" s="2"/>
      <c r="Z930" s="2"/>
      <c r="AA930" s="2"/>
    </row>
    <row r="931" spans="1:27" s="1" customFormat="1">
      <c r="A931"/>
      <c r="B931"/>
      <c r="C931"/>
      <c r="D931"/>
      <c r="E931"/>
      <c r="F931"/>
      <c r="G931"/>
      <c r="H931"/>
      <c r="I931"/>
      <c r="J931" s="3"/>
      <c r="K931" s="2"/>
      <c r="L931" s="12"/>
      <c r="M931" s="12"/>
      <c r="N931" s="12"/>
      <c r="O931" s="12"/>
      <c r="P931" s="12"/>
      <c r="Q931" s="12"/>
      <c r="R931" s="12"/>
      <c r="S931" s="12"/>
      <c r="T931" s="12"/>
      <c r="U931" s="13"/>
      <c r="V931" s="13"/>
      <c r="W931" s="12"/>
      <c r="X931" s="2"/>
      <c r="Y931" s="2"/>
      <c r="Z931" s="2"/>
      <c r="AA931" s="2"/>
    </row>
    <row r="932" spans="1:27" s="1" customFormat="1">
      <c r="A932"/>
      <c r="B932"/>
      <c r="C932"/>
      <c r="D932"/>
      <c r="E932"/>
      <c r="F932"/>
      <c r="G932"/>
      <c r="H932"/>
      <c r="I932"/>
      <c r="J932" s="3"/>
      <c r="K932" s="2"/>
      <c r="L932" s="10"/>
      <c r="M932" s="10"/>
      <c r="N932" s="9"/>
      <c r="O932" s="6"/>
      <c r="P932" s="8"/>
      <c r="Q932" s="6"/>
      <c r="R932" s="8"/>
      <c r="S932" s="6"/>
      <c r="T932" s="8"/>
      <c r="U932" s="7"/>
      <c r="V932" s="7"/>
      <c r="W932" s="6"/>
      <c r="X932" s="2"/>
      <c r="Y932" s="2"/>
      <c r="Z932" s="2"/>
      <c r="AA932" s="2"/>
    </row>
    <row r="933" spans="1:27" s="1" customFormat="1">
      <c r="A933"/>
      <c r="B933"/>
      <c r="C933"/>
      <c r="D933"/>
      <c r="E933"/>
      <c r="F933"/>
      <c r="G933"/>
      <c r="H933"/>
      <c r="I933"/>
      <c r="J933" s="3"/>
      <c r="K933" s="11"/>
      <c r="L933" s="10"/>
      <c r="M933" s="10"/>
      <c r="N933" s="9"/>
      <c r="O933" s="6"/>
      <c r="P933" s="8"/>
      <c r="Q933" s="6"/>
      <c r="R933" s="8"/>
      <c r="S933" s="6"/>
      <c r="T933" s="8"/>
      <c r="U933" s="7"/>
      <c r="V933" s="7"/>
      <c r="W933" s="6"/>
      <c r="X933" s="2"/>
      <c r="Y933" s="2"/>
      <c r="Z933" s="2"/>
      <c r="AA933" s="2"/>
    </row>
    <row r="934" spans="1:27" s="1" customFormat="1">
      <c r="A934"/>
      <c r="B934"/>
      <c r="C934"/>
      <c r="D934"/>
      <c r="E934"/>
      <c r="F934"/>
      <c r="G934"/>
      <c r="H934"/>
      <c r="I934"/>
      <c r="J934" s="3"/>
      <c r="K934" s="2"/>
      <c r="L934" s="10"/>
      <c r="M934" s="10"/>
      <c r="N934" s="9"/>
      <c r="O934" s="6"/>
      <c r="P934" s="8"/>
      <c r="Q934" s="6"/>
      <c r="R934" s="8"/>
      <c r="S934" s="6"/>
      <c r="T934" s="8"/>
      <c r="U934" s="7"/>
      <c r="V934" s="7"/>
      <c r="W934" s="6"/>
      <c r="X934" s="2"/>
      <c r="Y934" s="2"/>
      <c r="Z934" s="2"/>
      <c r="AA934" s="2"/>
    </row>
    <row r="935" spans="1:27" s="1" customFormat="1">
      <c r="A935"/>
      <c r="B935"/>
      <c r="C935"/>
      <c r="D935"/>
      <c r="E935"/>
      <c r="F935"/>
      <c r="G935"/>
      <c r="H935"/>
      <c r="I935"/>
      <c r="J935" s="3"/>
      <c r="K935" s="2"/>
      <c r="L935" s="10"/>
      <c r="M935" s="10"/>
      <c r="N935" s="9"/>
      <c r="O935" s="6"/>
      <c r="P935" s="8"/>
      <c r="Q935" s="6"/>
      <c r="R935" s="8"/>
      <c r="S935" s="6"/>
      <c r="T935" s="8"/>
      <c r="U935" s="7"/>
      <c r="V935" s="7"/>
      <c r="W935" s="6"/>
      <c r="X935" s="2"/>
      <c r="Y935" s="2"/>
      <c r="Z935" s="2"/>
      <c r="AA935" s="2"/>
    </row>
    <row r="936" spans="1:27" s="1" customFormat="1">
      <c r="A936"/>
      <c r="B936"/>
      <c r="C936"/>
      <c r="D936"/>
      <c r="E936"/>
      <c r="F936"/>
      <c r="G936"/>
      <c r="H936"/>
      <c r="I936"/>
      <c r="J936" s="3"/>
      <c r="K936" s="2"/>
      <c r="L936" s="2"/>
      <c r="M936" s="2"/>
      <c r="N936" s="2"/>
      <c r="O936" s="6"/>
      <c r="P936" s="8"/>
      <c r="Q936" s="6"/>
      <c r="R936" s="8"/>
      <c r="S936" s="6"/>
      <c r="T936" s="8"/>
      <c r="U936" s="7"/>
      <c r="V936" s="7"/>
      <c r="W936" s="6"/>
      <c r="X936" s="2"/>
      <c r="Y936" s="2"/>
      <c r="Z936" s="2"/>
      <c r="AA936" s="2"/>
    </row>
    <row r="937" spans="1:27" s="1" customFormat="1">
      <c r="A937"/>
      <c r="B937"/>
      <c r="C937"/>
      <c r="D937"/>
      <c r="E937"/>
      <c r="F937"/>
      <c r="G937"/>
      <c r="H937"/>
      <c r="I937"/>
      <c r="J937" s="3"/>
      <c r="K937" s="2"/>
      <c r="L937" s="2"/>
      <c r="M937" s="2"/>
      <c r="N937" s="2"/>
      <c r="O937" s="5"/>
      <c r="P937" s="4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</row>
    <row r="938" spans="1:27" s="1" customFormat="1">
      <c r="A938"/>
      <c r="B938"/>
      <c r="C938"/>
      <c r="D938"/>
      <c r="E938"/>
      <c r="F938"/>
      <c r="G938"/>
      <c r="H938"/>
      <c r="I938"/>
      <c r="J938" s="3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</row>
    <row r="939" spans="1:27" s="1" customFormat="1">
      <c r="A939"/>
      <c r="B939"/>
      <c r="C939"/>
      <c r="D939"/>
      <c r="E939"/>
      <c r="F939"/>
      <c r="G939"/>
      <c r="H939"/>
      <c r="I939"/>
      <c r="J939" s="3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</row>
    <row r="940" spans="1:27" s="1" customFormat="1">
      <c r="A940"/>
      <c r="B940"/>
      <c r="C940"/>
      <c r="D940"/>
      <c r="E940"/>
      <c r="F940"/>
      <c r="G940"/>
      <c r="H940"/>
      <c r="I940"/>
      <c r="J940" s="3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</row>
    <row r="941" spans="1:27" s="1" customFormat="1">
      <c r="A941"/>
      <c r="B941"/>
      <c r="C941"/>
      <c r="D941"/>
      <c r="E941"/>
      <c r="F941"/>
      <c r="G941"/>
      <c r="H941"/>
      <c r="I941"/>
      <c r="J941" s="3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</row>
    <row r="942" spans="1:27" s="1" customFormat="1">
      <c r="A942"/>
      <c r="B942"/>
      <c r="C942"/>
      <c r="D942"/>
      <c r="E942"/>
      <c r="F942"/>
      <c r="G942"/>
      <c r="H942"/>
      <c r="I942"/>
      <c r="J942" s="3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</row>
    <row r="943" spans="1:27" s="1" customFormat="1">
      <c r="A943"/>
      <c r="B943"/>
      <c r="C943"/>
      <c r="D943"/>
      <c r="E943"/>
      <c r="F943"/>
      <c r="G943"/>
      <c r="H943"/>
      <c r="I943"/>
      <c r="J943" s="3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</row>
    <row r="944" spans="1:27" s="1" customFormat="1">
      <c r="A944"/>
      <c r="B944"/>
      <c r="C944"/>
      <c r="D944"/>
      <c r="E944"/>
      <c r="F944"/>
      <c r="G944"/>
      <c r="H944"/>
      <c r="I944"/>
      <c r="J944" s="3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</row>
    <row r="945" spans="1:27" s="1" customFormat="1">
      <c r="A945"/>
      <c r="B945"/>
      <c r="C945"/>
      <c r="D945"/>
      <c r="E945"/>
      <c r="F945"/>
      <c r="G945"/>
      <c r="H945"/>
      <c r="I945"/>
      <c r="J945" s="3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</row>
    <row r="946" spans="1:27" s="1" customFormat="1">
      <c r="A946"/>
      <c r="B946"/>
      <c r="C946"/>
      <c r="D946"/>
      <c r="E946"/>
      <c r="F946"/>
      <c r="G946"/>
      <c r="H946"/>
      <c r="I946"/>
      <c r="J946" s="3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</row>
    <row r="947" spans="1:27" s="1" customFormat="1">
      <c r="A947"/>
      <c r="B947"/>
      <c r="C947"/>
      <c r="D947"/>
      <c r="E947"/>
      <c r="F947"/>
      <c r="G947"/>
      <c r="H947"/>
      <c r="I947"/>
      <c r="J947" s="3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</row>
    <row r="948" spans="1:27" s="1" customFormat="1">
      <c r="A948"/>
      <c r="B948"/>
      <c r="C948"/>
      <c r="D948"/>
      <c r="E948"/>
      <c r="F948"/>
      <c r="G948"/>
      <c r="H948"/>
      <c r="I948"/>
      <c r="J948" s="3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</row>
    <row r="949" spans="1:27" s="1" customFormat="1">
      <c r="A949"/>
      <c r="B949"/>
      <c r="C949"/>
      <c r="D949"/>
      <c r="E949"/>
      <c r="F949"/>
      <c r="G949"/>
      <c r="H949"/>
      <c r="I949"/>
      <c r="J949" s="3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</row>
    <row r="950" spans="1:27" s="1" customFormat="1">
      <c r="A950"/>
      <c r="B950"/>
      <c r="C950"/>
      <c r="D950"/>
      <c r="E950"/>
      <c r="F950"/>
      <c r="G950"/>
      <c r="H950"/>
      <c r="I950"/>
      <c r="J950" s="3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</row>
    <row r="951" spans="1:27" s="1" customFormat="1">
      <c r="A951"/>
      <c r="B951"/>
      <c r="C951"/>
      <c r="D951"/>
      <c r="E951"/>
      <c r="F951"/>
      <c r="G951"/>
      <c r="H951"/>
      <c r="I951"/>
      <c r="J951" s="3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</row>
    <row r="952" spans="1:27" s="1" customFormat="1">
      <c r="A952"/>
      <c r="B952"/>
      <c r="C952"/>
      <c r="D952"/>
      <c r="E952"/>
      <c r="F952"/>
      <c r="G952"/>
      <c r="H952"/>
      <c r="I952"/>
      <c r="J952" s="3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</row>
    <row r="953" spans="1:27" s="1" customFormat="1">
      <c r="A953"/>
      <c r="B953"/>
      <c r="C953"/>
      <c r="D953"/>
      <c r="E953"/>
      <c r="F953"/>
      <c r="G953"/>
      <c r="H953"/>
      <c r="I953"/>
      <c r="J953" s="3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</row>
    <row r="954" spans="1:27" s="1" customFormat="1">
      <c r="A954"/>
      <c r="B954"/>
      <c r="C954"/>
      <c r="D954"/>
      <c r="E954"/>
      <c r="F954"/>
      <c r="G954"/>
      <c r="H954"/>
      <c r="I954"/>
      <c r="J954" s="3"/>
      <c r="K954" s="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2"/>
      <c r="Y954" s="2"/>
      <c r="Z954" s="2"/>
      <c r="AA954" s="2"/>
    </row>
    <row r="955" spans="1:27" s="1" customFormat="1">
      <c r="A955"/>
      <c r="B955"/>
      <c r="C955"/>
      <c r="D955"/>
      <c r="E955"/>
      <c r="F955"/>
      <c r="G955"/>
      <c r="H955"/>
      <c r="I955"/>
      <c r="J955" s="3"/>
      <c r="K955" s="2"/>
      <c r="L955" s="14"/>
      <c r="M955" s="14"/>
      <c r="N955" s="14"/>
      <c r="O955" s="12"/>
      <c r="P955" s="12"/>
      <c r="Q955" s="12"/>
      <c r="R955" s="14"/>
      <c r="S955" s="14"/>
      <c r="T955" s="12"/>
      <c r="U955" s="2"/>
      <c r="V955" s="12"/>
      <c r="W955" s="2"/>
      <c r="X955" s="2"/>
      <c r="Y955" s="2"/>
      <c r="Z955" s="2"/>
      <c r="AA955" s="2"/>
    </row>
    <row r="956" spans="1:27" s="1" customFormat="1">
      <c r="A956"/>
      <c r="B956"/>
      <c r="C956"/>
      <c r="D956"/>
      <c r="E956"/>
      <c r="F956"/>
      <c r="G956"/>
      <c r="H956"/>
      <c r="I956"/>
      <c r="J956" s="3"/>
      <c r="K956" s="2"/>
      <c r="L956" s="12"/>
      <c r="M956" s="12"/>
      <c r="N956" s="12"/>
      <c r="O956" s="12"/>
      <c r="P956" s="12"/>
      <c r="Q956" s="12"/>
      <c r="R956" s="12"/>
      <c r="S956" s="12"/>
      <c r="T956" s="12"/>
      <c r="U956" s="13"/>
      <c r="V956" s="13"/>
      <c r="W956" s="12"/>
      <c r="X956" s="2"/>
      <c r="Y956" s="2"/>
      <c r="Z956" s="2"/>
      <c r="AA956" s="2"/>
    </row>
    <row r="957" spans="1:27" s="1" customFormat="1">
      <c r="A957"/>
      <c r="B957"/>
      <c r="C957"/>
      <c r="D957"/>
      <c r="E957"/>
      <c r="F957"/>
      <c r="G957"/>
      <c r="H957"/>
      <c r="I957"/>
      <c r="J957" s="3"/>
      <c r="K957" s="2"/>
      <c r="L957" s="10"/>
      <c r="M957" s="10"/>
      <c r="N957" s="9"/>
      <c r="O957" s="6"/>
      <c r="P957" s="8"/>
      <c r="Q957" s="6"/>
      <c r="R957" s="8"/>
      <c r="S957" s="6"/>
      <c r="T957" s="8"/>
      <c r="U957" s="7"/>
      <c r="V957" s="7"/>
      <c r="W957" s="6"/>
      <c r="X957" s="2"/>
      <c r="Y957" s="2"/>
      <c r="Z957" s="2"/>
      <c r="AA957" s="2"/>
    </row>
    <row r="958" spans="1:27" s="1" customFormat="1">
      <c r="A958"/>
      <c r="B958"/>
      <c r="C958"/>
      <c r="D958"/>
      <c r="E958"/>
      <c r="F958"/>
      <c r="G958"/>
      <c r="H958"/>
      <c r="I958"/>
      <c r="J958" s="3"/>
      <c r="K958" s="11"/>
      <c r="L958" s="10"/>
      <c r="M958" s="10"/>
      <c r="N958" s="9"/>
      <c r="O958" s="6"/>
      <c r="P958" s="8"/>
      <c r="Q958" s="6"/>
      <c r="R958" s="8"/>
      <c r="S958" s="6"/>
      <c r="T958" s="8"/>
      <c r="U958" s="7"/>
      <c r="V958" s="7"/>
      <c r="W958" s="6"/>
      <c r="X958" s="2"/>
      <c r="Y958" s="2"/>
      <c r="Z958" s="2"/>
      <c r="AA958" s="2"/>
    </row>
    <row r="959" spans="1:27" s="1" customFormat="1">
      <c r="A959"/>
      <c r="B959"/>
      <c r="C959"/>
      <c r="D959"/>
      <c r="E959"/>
      <c r="F959"/>
      <c r="G959"/>
      <c r="H959"/>
      <c r="I959"/>
      <c r="J959" s="3"/>
      <c r="K959" s="2"/>
      <c r="L959" s="10"/>
      <c r="M959" s="10"/>
      <c r="N959" s="9"/>
      <c r="O959" s="6"/>
      <c r="P959" s="8"/>
      <c r="Q959" s="6"/>
      <c r="R959" s="8"/>
      <c r="S959" s="6"/>
      <c r="T959" s="8"/>
      <c r="U959" s="7"/>
      <c r="V959" s="7"/>
      <c r="W959" s="6"/>
      <c r="X959" s="2"/>
      <c r="Y959" s="2"/>
      <c r="Z959" s="2"/>
      <c r="AA959" s="2"/>
    </row>
    <row r="960" spans="1:27" s="1" customFormat="1">
      <c r="A960"/>
      <c r="B960"/>
      <c r="C960"/>
      <c r="D960"/>
      <c r="E960"/>
      <c r="F960"/>
      <c r="G960"/>
      <c r="H960"/>
      <c r="I960"/>
      <c r="J960" s="3"/>
      <c r="K960" s="2"/>
      <c r="L960" s="10"/>
      <c r="M960" s="10"/>
      <c r="N960" s="9"/>
      <c r="O960" s="6"/>
      <c r="P960" s="8"/>
      <c r="Q960" s="6"/>
      <c r="R960" s="8"/>
      <c r="S960" s="6"/>
      <c r="T960" s="8"/>
      <c r="U960" s="7"/>
      <c r="V960" s="7"/>
      <c r="W960" s="6"/>
      <c r="X960" s="2"/>
      <c r="Y960" s="2"/>
      <c r="Z960" s="2"/>
      <c r="AA960" s="2"/>
    </row>
    <row r="961" spans="1:27" s="1" customFormat="1">
      <c r="A961"/>
      <c r="B961"/>
      <c r="C961"/>
      <c r="D961"/>
      <c r="E961"/>
      <c r="F961"/>
      <c r="G961"/>
      <c r="H961"/>
      <c r="I961"/>
      <c r="K961" s="2"/>
      <c r="L961" s="2"/>
      <c r="M961" s="2"/>
      <c r="N961" s="2"/>
      <c r="O961" s="6"/>
      <c r="P961" s="8"/>
      <c r="Q961" s="6"/>
      <c r="R961" s="8"/>
      <c r="S961" s="6"/>
      <c r="T961" s="8"/>
      <c r="U961" s="7"/>
      <c r="V961" s="7"/>
      <c r="W961" s="6"/>
      <c r="X961" s="2"/>
      <c r="Y961" s="2"/>
      <c r="Z961" s="2"/>
      <c r="AA961" s="2"/>
    </row>
    <row r="962" spans="1:27" s="1" customFormat="1">
      <c r="A962"/>
      <c r="B962"/>
      <c r="C962"/>
      <c r="D962"/>
      <c r="E962"/>
      <c r="F962"/>
      <c r="G962"/>
      <c r="H962"/>
      <c r="I962"/>
      <c r="K962" s="2"/>
      <c r="L962" s="2"/>
      <c r="M962" s="2"/>
      <c r="N962" s="2"/>
      <c r="O962" s="5"/>
      <c r="P962" s="4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</row>
    <row r="963" spans="1:27" s="1" customFormat="1">
      <c r="A963"/>
      <c r="B963"/>
      <c r="C963"/>
      <c r="D963"/>
      <c r="E963"/>
      <c r="F963"/>
      <c r="G963"/>
      <c r="H963"/>
      <c r="I963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</row>
    <row r="964" spans="1:27" s="1" customFormat="1">
      <c r="A964"/>
      <c r="B964"/>
      <c r="C964"/>
      <c r="D964"/>
      <c r="E964"/>
      <c r="F964"/>
      <c r="G964"/>
      <c r="H964"/>
      <c r="I964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</row>
    <row r="965" spans="1:27" s="1" customFormat="1">
      <c r="A965"/>
      <c r="B965"/>
      <c r="C965"/>
      <c r="D965"/>
      <c r="E965"/>
      <c r="F965"/>
      <c r="G965"/>
      <c r="H965"/>
      <c r="I965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</row>
    <row r="966" spans="1:27" s="1" customFormat="1">
      <c r="A966"/>
      <c r="B966"/>
      <c r="C966"/>
      <c r="D966"/>
      <c r="E966"/>
      <c r="F966"/>
      <c r="G966"/>
      <c r="H966"/>
      <c r="I966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</row>
    <row r="967" spans="1:27" s="1" customFormat="1">
      <c r="A967"/>
      <c r="B967"/>
      <c r="C967"/>
      <c r="D967"/>
      <c r="E967"/>
      <c r="F967"/>
      <c r="G967"/>
      <c r="H967"/>
      <c r="I967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</row>
    <row r="968" spans="1:27" s="1" customFormat="1">
      <c r="A968"/>
      <c r="B968"/>
      <c r="C968"/>
      <c r="D968"/>
      <c r="E968"/>
      <c r="F968"/>
      <c r="G968"/>
      <c r="H968"/>
      <c r="I968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</row>
    <row r="969" spans="1:27" s="1" customFormat="1">
      <c r="A969"/>
      <c r="B969"/>
      <c r="C969"/>
      <c r="D969"/>
      <c r="E969"/>
      <c r="F969"/>
      <c r="G969"/>
      <c r="H969"/>
      <c r="I969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</row>
    <row r="970" spans="1:27" s="1" customFormat="1">
      <c r="A970"/>
      <c r="B970"/>
      <c r="C970"/>
      <c r="D970"/>
      <c r="E970"/>
      <c r="F970"/>
      <c r="G970"/>
      <c r="H970"/>
      <c r="I970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</row>
    <row r="971" spans="1:27" s="1" customFormat="1">
      <c r="A971"/>
      <c r="B971"/>
      <c r="C971"/>
      <c r="D971"/>
      <c r="E971"/>
      <c r="F971"/>
      <c r="G971"/>
      <c r="H971"/>
      <c r="I971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</row>
    <row r="972" spans="1:27" s="1" customFormat="1">
      <c r="A972"/>
      <c r="B972"/>
      <c r="C972"/>
      <c r="D972"/>
      <c r="E972"/>
      <c r="F972"/>
      <c r="G972"/>
      <c r="H972"/>
      <c r="I97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</row>
    <row r="973" spans="1:27" s="1" customFormat="1">
      <c r="A973"/>
      <c r="B973"/>
      <c r="C973"/>
      <c r="D973"/>
      <c r="E973"/>
      <c r="F973"/>
      <c r="G973"/>
      <c r="H973"/>
      <c r="I973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</row>
    <row r="974" spans="1:27" s="1" customFormat="1">
      <c r="A974"/>
      <c r="B974"/>
      <c r="C974"/>
      <c r="D974"/>
      <c r="E974"/>
      <c r="F974"/>
      <c r="G974"/>
      <c r="H974"/>
      <c r="I974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</row>
    <row r="975" spans="1:27" s="1" customFormat="1">
      <c r="A975"/>
      <c r="B975"/>
      <c r="C975"/>
      <c r="D975"/>
      <c r="E975"/>
      <c r="F975"/>
      <c r="G975"/>
      <c r="H975"/>
      <c r="I975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</row>
    <row r="976" spans="1:27" s="1" customFormat="1">
      <c r="A976"/>
      <c r="B976"/>
      <c r="C976"/>
      <c r="D976"/>
      <c r="E976"/>
      <c r="F976"/>
      <c r="G976"/>
      <c r="H976"/>
      <c r="I976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</row>
    <row r="977" spans="1:27" s="1" customFormat="1">
      <c r="A977"/>
      <c r="B977"/>
      <c r="C977"/>
      <c r="D977"/>
      <c r="E977"/>
      <c r="F977"/>
      <c r="G977"/>
      <c r="H977"/>
      <c r="I977"/>
      <c r="J977" s="3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</row>
    <row r="978" spans="1:27" s="1" customFormat="1">
      <c r="A978"/>
      <c r="B978"/>
      <c r="C978"/>
      <c r="D978"/>
      <c r="E978"/>
      <c r="F978"/>
      <c r="G978"/>
      <c r="H978"/>
      <c r="I978"/>
      <c r="J978" s="3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</row>
    <row r="979" spans="1:27" s="1" customFormat="1">
      <c r="A979"/>
      <c r="B979"/>
      <c r="C979"/>
      <c r="D979"/>
      <c r="E979"/>
      <c r="F979"/>
      <c r="G979"/>
      <c r="H979"/>
      <c r="I979"/>
      <c r="J979" s="3"/>
      <c r="K979" s="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2"/>
      <c r="Y979" s="2"/>
      <c r="Z979" s="2"/>
      <c r="AA979" s="2"/>
    </row>
    <row r="980" spans="1:27" s="1" customFormat="1">
      <c r="A980"/>
      <c r="B980"/>
      <c r="C980"/>
      <c r="D980"/>
      <c r="E980"/>
      <c r="F980"/>
      <c r="G980"/>
      <c r="H980"/>
      <c r="I980"/>
      <c r="J980" s="3"/>
      <c r="K980" s="2"/>
      <c r="L980" s="14"/>
      <c r="M980" s="14"/>
      <c r="N980" s="14"/>
      <c r="O980" s="12"/>
      <c r="P980" s="12"/>
      <c r="Q980" s="12"/>
      <c r="R980" s="14"/>
      <c r="S980" s="14"/>
      <c r="T980" s="12"/>
      <c r="U980" s="2"/>
      <c r="V980" s="12"/>
      <c r="W980" s="2"/>
      <c r="X980" s="2"/>
      <c r="Y980" s="2"/>
      <c r="Z980" s="2"/>
      <c r="AA980" s="2"/>
    </row>
    <row r="981" spans="1:27" s="1" customFormat="1">
      <c r="A981"/>
      <c r="B981"/>
      <c r="C981"/>
      <c r="D981"/>
      <c r="E981"/>
      <c r="F981"/>
      <c r="G981"/>
      <c r="H981"/>
      <c r="I981"/>
      <c r="J981" s="3"/>
      <c r="K981" s="2"/>
      <c r="L981" s="12"/>
      <c r="M981" s="12"/>
      <c r="N981" s="12"/>
      <c r="O981" s="12"/>
      <c r="P981" s="12"/>
      <c r="Q981" s="12"/>
      <c r="R981" s="12"/>
      <c r="S981" s="12"/>
      <c r="T981" s="12"/>
      <c r="U981" s="13"/>
      <c r="V981" s="13"/>
      <c r="W981" s="12"/>
      <c r="X981" s="2"/>
      <c r="Y981" s="2"/>
      <c r="Z981" s="2"/>
      <c r="AA981" s="2"/>
    </row>
    <row r="982" spans="1:27" s="1" customFormat="1">
      <c r="A982"/>
      <c r="B982"/>
      <c r="C982"/>
      <c r="D982"/>
      <c r="E982"/>
      <c r="F982"/>
      <c r="G982"/>
      <c r="H982"/>
      <c r="I982"/>
      <c r="J982" s="3"/>
      <c r="K982" s="2"/>
      <c r="L982" s="10"/>
      <c r="M982" s="10"/>
      <c r="N982" s="9"/>
      <c r="O982" s="6"/>
      <c r="P982" s="8"/>
      <c r="Q982" s="6"/>
      <c r="R982" s="8"/>
      <c r="S982" s="6"/>
      <c r="T982" s="8"/>
      <c r="U982" s="7"/>
      <c r="V982" s="7"/>
      <c r="W982" s="6"/>
      <c r="X982" s="2"/>
      <c r="Y982" s="2"/>
      <c r="Z982" s="2"/>
      <c r="AA982" s="2"/>
    </row>
    <row r="983" spans="1:27" s="1" customFormat="1">
      <c r="A983"/>
      <c r="B983"/>
      <c r="C983"/>
      <c r="D983"/>
      <c r="E983"/>
      <c r="F983"/>
      <c r="G983"/>
      <c r="H983"/>
      <c r="I983"/>
      <c r="J983" s="3"/>
      <c r="K983" s="11"/>
      <c r="L983" s="10"/>
      <c r="M983" s="10"/>
      <c r="N983" s="9"/>
      <c r="O983" s="6"/>
      <c r="P983" s="8"/>
      <c r="Q983" s="6"/>
      <c r="R983" s="8"/>
      <c r="S983" s="6"/>
      <c r="T983" s="8"/>
      <c r="U983" s="7"/>
      <c r="V983" s="7"/>
      <c r="W983" s="6"/>
      <c r="X983" s="2"/>
      <c r="Y983" s="2"/>
      <c r="Z983" s="2"/>
      <c r="AA983" s="2"/>
    </row>
    <row r="984" spans="1:27" s="1" customFormat="1">
      <c r="A984"/>
      <c r="B984"/>
      <c r="C984"/>
      <c r="D984"/>
      <c r="E984"/>
      <c r="F984"/>
      <c r="G984"/>
      <c r="H984"/>
      <c r="I984"/>
      <c r="J984" s="3"/>
      <c r="K984" s="2"/>
      <c r="L984" s="10"/>
      <c r="M984" s="10"/>
      <c r="N984" s="9"/>
      <c r="O984" s="6"/>
      <c r="P984" s="8"/>
      <c r="Q984" s="6"/>
      <c r="R984" s="8"/>
      <c r="S984" s="6"/>
      <c r="T984" s="8"/>
      <c r="U984" s="7"/>
      <c r="V984" s="7"/>
      <c r="W984" s="6"/>
      <c r="X984" s="2"/>
      <c r="Y984" s="2"/>
      <c r="Z984" s="2"/>
      <c r="AA984" s="2"/>
    </row>
    <row r="985" spans="1:27" s="1" customFormat="1">
      <c r="A985"/>
      <c r="B985"/>
      <c r="C985"/>
      <c r="D985"/>
      <c r="E985"/>
      <c r="F985"/>
      <c r="G985"/>
      <c r="H985"/>
      <c r="I985"/>
      <c r="J985" s="3"/>
      <c r="K985" s="2"/>
      <c r="L985" s="10"/>
      <c r="M985" s="10"/>
      <c r="N985" s="9"/>
      <c r="O985" s="6"/>
      <c r="P985" s="8"/>
      <c r="Q985" s="6"/>
      <c r="R985" s="8"/>
      <c r="S985" s="6"/>
      <c r="T985" s="8"/>
      <c r="U985" s="7"/>
      <c r="V985" s="7"/>
      <c r="W985" s="6"/>
      <c r="X985" s="2"/>
      <c r="Y985" s="2"/>
      <c r="Z985" s="2"/>
      <c r="AA985" s="2"/>
    </row>
    <row r="986" spans="1:27" s="1" customFormat="1">
      <c r="A986"/>
      <c r="B986"/>
      <c r="C986"/>
      <c r="D986"/>
      <c r="E986"/>
      <c r="F986"/>
      <c r="G986"/>
      <c r="H986"/>
      <c r="I986"/>
      <c r="J986" s="3"/>
      <c r="K986" s="2"/>
      <c r="L986" s="2"/>
      <c r="M986" s="2"/>
      <c r="N986" s="2"/>
      <c r="O986" s="6"/>
      <c r="P986" s="8"/>
      <c r="Q986" s="6"/>
      <c r="R986" s="8"/>
      <c r="S986" s="6"/>
      <c r="T986" s="8"/>
      <c r="U986" s="7"/>
      <c r="V986" s="7"/>
      <c r="W986" s="6"/>
      <c r="X986" s="2"/>
      <c r="Y986" s="2"/>
      <c r="Z986" s="2"/>
      <c r="AA986" s="2"/>
    </row>
    <row r="987" spans="1:27" s="1" customFormat="1">
      <c r="A987"/>
      <c r="B987"/>
      <c r="C987"/>
      <c r="D987"/>
      <c r="E987"/>
      <c r="F987"/>
      <c r="G987"/>
      <c r="H987"/>
      <c r="I987"/>
      <c r="J987" s="3"/>
      <c r="K987" s="2"/>
      <c r="L987" s="2"/>
      <c r="M987" s="2"/>
      <c r="N987" s="2"/>
      <c r="O987" s="5"/>
      <c r="P987" s="4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</row>
    <row r="988" spans="1:27" s="1" customFormat="1">
      <c r="A988"/>
      <c r="B988"/>
      <c r="C988"/>
      <c r="D988"/>
      <c r="E988"/>
      <c r="F988"/>
      <c r="G988"/>
      <c r="H988"/>
      <c r="I988"/>
      <c r="J988" s="3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</row>
    <row r="989" spans="1:27" s="1" customFormat="1">
      <c r="A989"/>
      <c r="B989"/>
      <c r="C989"/>
      <c r="D989"/>
      <c r="E989"/>
      <c r="F989"/>
      <c r="G989"/>
      <c r="H989"/>
      <c r="I989"/>
      <c r="J989" s="3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</row>
    <row r="990" spans="1:27" s="1" customFormat="1">
      <c r="A990"/>
      <c r="B990"/>
      <c r="C990"/>
      <c r="D990"/>
      <c r="E990"/>
      <c r="F990"/>
      <c r="G990"/>
      <c r="H990"/>
      <c r="I990"/>
      <c r="J990" s="3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</row>
    <row r="991" spans="1:27" s="1" customFormat="1">
      <c r="A991"/>
      <c r="B991"/>
      <c r="C991"/>
      <c r="D991"/>
      <c r="E991"/>
      <c r="F991"/>
      <c r="G991"/>
      <c r="H991"/>
      <c r="I991"/>
      <c r="J991" s="3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</row>
    <row r="992" spans="1:27" s="1" customFormat="1">
      <c r="A992"/>
      <c r="B992"/>
      <c r="C992"/>
      <c r="D992"/>
      <c r="E992"/>
      <c r="F992"/>
      <c r="G992"/>
      <c r="H992"/>
      <c r="I992"/>
      <c r="J992" s="3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</row>
    <row r="993" spans="1:27" s="1" customFormat="1">
      <c r="A993"/>
      <c r="B993"/>
      <c r="C993"/>
      <c r="D993"/>
      <c r="E993"/>
      <c r="F993"/>
      <c r="G993"/>
      <c r="H993"/>
      <c r="I993"/>
      <c r="J993" s="3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</row>
    <row r="994" spans="1:27" s="1" customFormat="1">
      <c r="A994"/>
      <c r="B994"/>
      <c r="C994"/>
      <c r="D994"/>
      <c r="E994"/>
      <c r="F994"/>
      <c r="G994"/>
      <c r="H994"/>
      <c r="I994"/>
      <c r="J994" s="3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</row>
    <row r="995" spans="1:27" s="1" customFormat="1">
      <c r="A995"/>
      <c r="B995"/>
      <c r="C995"/>
      <c r="D995"/>
      <c r="E995"/>
      <c r="F995"/>
      <c r="G995"/>
      <c r="H995"/>
      <c r="I995"/>
      <c r="J995" s="3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</row>
    <row r="996" spans="1:27" s="1" customFormat="1">
      <c r="A996"/>
      <c r="B996"/>
      <c r="C996"/>
      <c r="D996"/>
      <c r="E996"/>
      <c r="F996"/>
      <c r="G996"/>
      <c r="H996"/>
      <c r="I996"/>
      <c r="J996" s="3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</row>
    <row r="997" spans="1:27" s="1" customFormat="1">
      <c r="A997"/>
      <c r="B997"/>
      <c r="C997"/>
      <c r="D997"/>
      <c r="E997"/>
      <c r="F997"/>
      <c r="G997"/>
      <c r="H997"/>
      <c r="I997"/>
      <c r="J997" s="3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</row>
    <row r="998" spans="1:27" s="1" customFormat="1">
      <c r="A998"/>
      <c r="B998"/>
      <c r="C998"/>
      <c r="D998"/>
      <c r="E998"/>
      <c r="F998"/>
      <c r="G998"/>
      <c r="H998"/>
      <c r="I998"/>
      <c r="J998" s="3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</row>
    <row r="999" spans="1:27" s="1" customFormat="1">
      <c r="A999"/>
      <c r="B999"/>
      <c r="C999"/>
      <c r="D999"/>
      <c r="E999"/>
      <c r="F999"/>
      <c r="G999"/>
      <c r="H999"/>
      <c r="I999"/>
      <c r="J999" s="3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</row>
    <row r="1000" spans="1:27" s="1" customFormat="1">
      <c r="A1000"/>
      <c r="B1000"/>
      <c r="C1000"/>
      <c r="D1000"/>
      <c r="E1000"/>
      <c r="F1000"/>
      <c r="G1000"/>
      <c r="H1000"/>
      <c r="I1000"/>
      <c r="J1000" s="3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</row>
    <row r="1001" spans="1:27" s="1" customFormat="1">
      <c r="A1001"/>
      <c r="B1001"/>
      <c r="C1001"/>
      <c r="D1001"/>
      <c r="E1001"/>
      <c r="F1001"/>
      <c r="G1001"/>
      <c r="H1001"/>
      <c r="I1001"/>
      <c r="J1001" s="3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</row>
    <row r="1002" spans="1:27" s="1" customFormat="1">
      <c r="A1002"/>
      <c r="B1002"/>
      <c r="C1002"/>
      <c r="D1002"/>
      <c r="E1002"/>
      <c r="F1002"/>
      <c r="G1002"/>
      <c r="H1002"/>
      <c r="I1002"/>
      <c r="J1002" s="3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</row>
    <row r="1003" spans="1:27" s="1" customFormat="1">
      <c r="A1003"/>
      <c r="B1003"/>
      <c r="C1003"/>
      <c r="D1003"/>
      <c r="E1003"/>
      <c r="F1003"/>
      <c r="G1003"/>
      <c r="H1003"/>
      <c r="I1003"/>
      <c r="J1003" s="3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</row>
    <row r="1004" spans="1:27" s="1" customFormat="1">
      <c r="A1004"/>
      <c r="B1004"/>
      <c r="C1004"/>
      <c r="D1004"/>
      <c r="E1004"/>
      <c r="F1004"/>
      <c r="G1004"/>
      <c r="H1004"/>
      <c r="I1004"/>
      <c r="J1004" s="3"/>
      <c r="K1004" s="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2"/>
      <c r="W1004" s="12"/>
      <c r="X1004" s="2"/>
      <c r="Y1004" s="2"/>
      <c r="Z1004" s="2"/>
      <c r="AA1004" s="2"/>
    </row>
    <row r="1005" spans="1:27" s="1" customFormat="1">
      <c r="A1005"/>
      <c r="B1005"/>
      <c r="C1005"/>
      <c r="D1005"/>
      <c r="E1005"/>
      <c r="F1005"/>
      <c r="G1005"/>
      <c r="H1005"/>
      <c r="I1005"/>
      <c r="J1005" s="3"/>
      <c r="K1005" s="2"/>
      <c r="L1005" s="14"/>
      <c r="M1005" s="14"/>
      <c r="N1005" s="14"/>
      <c r="O1005" s="12"/>
      <c r="P1005" s="12"/>
      <c r="Q1005" s="12"/>
      <c r="R1005" s="14"/>
      <c r="S1005" s="14"/>
      <c r="T1005" s="12"/>
      <c r="U1005" s="2"/>
      <c r="V1005" s="12"/>
      <c r="W1005" s="2"/>
      <c r="X1005" s="2"/>
      <c r="Y1005" s="2"/>
      <c r="Z1005" s="2"/>
      <c r="AA1005" s="2"/>
    </row>
    <row r="1006" spans="1:27" s="1" customFormat="1">
      <c r="A1006"/>
      <c r="B1006"/>
      <c r="C1006"/>
      <c r="D1006"/>
      <c r="E1006"/>
      <c r="F1006"/>
      <c r="G1006"/>
      <c r="H1006"/>
      <c r="I1006"/>
      <c r="J1006" s="3"/>
      <c r="K1006" s="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3"/>
      <c r="V1006" s="13"/>
      <c r="W1006" s="12"/>
      <c r="X1006" s="2"/>
      <c r="Y1006" s="2"/>
      <c r="Z1006" s="2"/>
      <c r="AA1006" s="2"/>
    </row>
    <row r="1007" spans="1:27" s="1" customFormat="1">
      <c r="A1007"/>
      <c r="B1007"/>
      <c r="C1007"/>
      <c r="D1007"/>
      <c r="E1007"/>
      <c r="F1007"/>
      <c r="G1007"/>
      <c r="H1007"/>
      <c r="I1007"/>
      <c r="J1007" s="3"/>
      <c r="K1007" s="2"/>
      <c r="L1007" s="10"/>
      <c r="M1007" s="10"/>
      <c r="N1007" s="9"/>
      <c r="O1007" s="6"/>
      <c r="P1007" s="8"/>
      <c r="Q1007" s="6"/>
      <c r="R1007" s="8"/>
      <c r="S1007" s="6"/>
      <c r="T1007" s="8"/>
      <c r="U1007" s="7"/>
      <c r="V1007" s="7"/>
      <c r="W1007" s="6"/>
      <c r="X1007" s="2"/>
      <c r="Y1007" s="2"/>
      <c r="Z1007" s="2"/>
      <c r="AA1007" s="2"/>
    </row>
    <row r="1008" spans="1:27" s="1" customFormat="1">
      <c r="A1008"/>
      <c r="B1008"/>
      <c r="C1008"/>
      <c r="D1008"/>
      <c r="E1008"/>
      <c r="F1008"/>
      <c r="G1008"/>
      <c r="H1008"/>
      <c r="I1008"/>
      <c r="J1008" s="3"/>
      <c r="K1008" s="11"/>
      <c r="L1008" s="10"/>
      <c r="M1008" s="10"/>
      <c r="N1008" s="9"/>
      <c r="O1008" s="6"/>
      <c r="P1008" s="8"/>
      <c r="Q1008" s="6"/>
      <c r="R1008" s="8"/>
      <c r="S1008" s="6"/>
      <c r="T1008" s="8"/>
      <c r="U1008" s="7"/>
      <c r="V1008" s="7"/>
      <c r="W1008" s="6"/>
      <c r="X1008" s="2"/>
      <c r="Y1008" s="2"/>
      <c r="Z1008" s="2"/>
      <c r="AA1008" s="2"/>
    </row>
    <row r="1009" spans="1:27" s="1" customFormat="1">
      <c r="A1009"/>
      <c r="B1009"/>
      <c r="C1009"/>
      <c r="D1009"/>
      <c r="E1009"/>
      <c r="F1009"/>
      <c r="G1009"/>
      <c r="H1009"/>
      <c r="I1009"/>
      <c r="J1009" s="3"/>
      <c r="K1009" s="2"/>
      <c r="L1009" s="10"/>
      <c r="M1009" s="10"/>
      <c r="N1009" s="9"/>
      <c r="O1009" s="6"/>
      <c r="P1009" s="8"/>
      <c r="Q1009" s="6"/>
      <c r="R1009" s="8"/>
      <c r="S1009" s="6"/>
      <c r="T1009" s="8"/>
      <c r="U1009" s="7"/>
      <c r="V1009" s="7"/>
      <c r="W1009" s="6"/>
      <c r="X1009" s="2"/>
      <c r="Y1009" s="2"/>
      <c r="Z1009" s="2"/>
      <c r="AA1009" s="2"/>
    </row>
    <row r="1010" spans="1:27" s="1" customFormat="1">
      <c r="A1010"/>
      <c r="B1010"/>
      <c r="C1010"/>
      <c r="D1010"/>
      <c r="E1010"/>
      <c r="F1010"/>
      <c r="G1010"/>
      <c r="H1010"/>
      <c r="I1010"/>
      <c r="J1010" s="3"/>
      <c r="K1010" s="2"/>
      <c r="L1010" s="10"/>
      <c r="M1010" s="10"/>
      <c r="N1010" s="9"/>
      <c r="O1010" s="6"/>
      <c r="P1010" s="8"/>
      <c r="Q1010" s="6"/>
      <c r="R1010" s="8"/>
      <c r="S1010" s="6"/>
      <c r="T1010" s="8"/>
      <c r="U1010" s="7"/>
      <c r="V1010" s="7"/>
      <c r="W1010" s="6"/>
      <c r="X1010" s="2"/>
      <c r="Y1010" s="2"/>
      <c r="Z1010" s="2"/>
      <c r="AA1010" s="2"/>
    </row>
    <row r="1011" spans="1:27" s="1" customFormat="1">
      <c r="A1011"/>
      <c r="B1011"/>
      <c r="C1011"/>
      <c r="D1011"/>
      <c r="E1011"/>
      <c r="F1011"/>
      <c r="G1011"/>
      <c r="H1011"/>
      <c r="I1011"/>
      <c r="J1011" s="3"/>
      <c r="K1011" s="2"/>
      <c r="L1011" s="2"/>
      <c r="M1011" s="2"/>
      <c r="N1011" s="2"/>
      <c r="O1011" s="6"/>
      <c r="P1011" s="8"/>
      <c r="Q1011" s="6"/>
      <c r="R1011" s="8"/>
      <c r="S1011" s="6"/>
      <c r="T1011" s="8"/>
      <c r="U1011" s="7"/>
      <c r="V1011" s="7"/>
      <c r="W1011" s="6"/>
      <c r="X1011" s="2"/>
      <c r="Y1011" s="2"/>
      <c r="Z1011" s="2"/>
      <c r="AA1011" s="2"/>
    </row>
    <row r="1012" spans="1:27" s="1" customFormat="1">
      <c r="A1012"/>
      <c r="B1012"/>
      <c r="C1012"/>
      <c r="D1012"/>
      <c r="E1012"/>
      <c r="F1012"/>
      <c r="G1012"/>
      <c r="H1012"/>
      <c r="I1012"/>
      <c r="J1012" s="3"/>
      <c r="K1012" s="2"/>
      <c r="L1012" s="2"/>
      <c r="M1012" s="2"/>
      <c r="N1012" s="2"/>
      <c r="O1012" s="5"/>
      <c r="P1012" s="4"/>
      <c r="Q1012" s="2"/>
      <c r="R1012" s="2"/>
      <c r="S1012" s="2"/>
      <c r="T1012" s="2"/>
      <c r="U1012" s="2"/>
      <c r="V1012" s="2"/>
      <c r="W1012" s="2"/>
      <c r="X1012" s="2"/>
      <c r="Y1012" s="2"/>
      <c r="Z1012" s="2"/>
      <c r="AA1012" s="2"/>
    </row>
    <row r="1013" spans="1:27" s="1" customFormat="1">
      <c r="A1013"/>
      <c r="B1013"/>
      <c r="C1013"/>
      <c r="D1013"/>
      <c r="E1013"/>
      <c r="F1013"/>
      <c r="G1013"/>
      <c r="H1013"/>
      <c r="I1013"/>
      <c r="J1013" s="3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  <c r="AA1013" s="2"/>
    </row>
    <row r="1014" spans="1:27" s="1" customFormat="1">
      <c r="A1014"/>
      <c r="B1014"/>
      <c r="C1014"/>
      <c r="D1014"/>
      <c r="E1014"/>
      <c r="F1014"/>
      <c r="G1014"/>
      <c r="H1014"/>
      <c r="I1014"/>
      <c r="J1014" s="3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</row>
    <row r="1015" spans="1:27" s="1" customFormat="1">
      <c r="A1015"/>
      <c r="B1015"/>
      <c r="C1015"/>
      <c r="D1015"/>
      <c r="E1015"/>
      <c r="F1015"/>
      <c r="G1015"/>
      <c r="H1015"/>
      <c r="I1015"/>
      <c r="J1015" s="3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  <c r="AA1015" s="2"/>
    </row>
    <row r="1016" spans="1:27" s="1" customFormat="1">
      <c r="A1016"/>
      <c r="B1016"/>
      <c r="C1016"/>
      <c r="D1016"/>
      <c r="E1016"/>
      <c r="F1016"/>
      <c r="G1016"/>
      <c r="H1016"/>
      <c r="I1016"/>
      <c r="J1016" s="3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  <c r="AA1016" s="2"/>
    </row>
    <row r="1017" spans="1:27" s="1" customFormat="1">
      <c r="A1017"/>
      <c r="B1017"/>
      <c r="C1017"/>
      <c r="D1017"/>
      <c r="E1017"/>
      <c r="F1017"/>
      <c r="G1017"/>
      <c r="H1017"/>
      <c r="I1017"/>
      <c r="J1017" s="3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  <c r="AA1017" s="2"/>
    </row>
    <row r="1018" spans="1:27" s="1" customFormat="1">
      <c r="A1018"/>
      <c r="B1018"/>
      <c r="C1018"/>
      <c r="D1018"/>
      <c r="E1018"/>
      <c r="F1018"/>
      <c r="G1018"/>
      <c r="H1018"/>
      <c r="I1018"/>
      <c r="J1018" s="3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  <c r="AA1018" s="2"/>
    </row>
    <row r="1019" spans="1:27" s="1" customFormat="1">
      <c r="A1019"/>
      <c r="B1019"/>
      <c r="C1019"/>
      <c r="D1019"/>
      <c r="E1019"/>
      <c r="F1019"/>
      <c r="G1019"/>
      <c r="H1019"/>
      <c r="I1019"/>
      <c r="J1019" s="3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  <c r="AA1019" s="2"/>
    </row>
    <row r="1020" spans="1:27" s="1" customFormat="1">
      <c r="A1020"/>
      <c r="B1020"/>
      <c r="C1020"/>
      <c r="D1020"/>
      <c r="E1020"/>
      <c r="F1020"/>
      <c r="G1020"/>
      <c r="H1020"/>
      <c r="I1020"/>
      <c r="J1020" s="3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  <c r="AA1020" s="2"/>
    </row>
    <row r="1021" spans="1:27" s="1" customFormat="1">
      <c r="A1021"/>
      <c r="B1021"/>
      <c r="C1021"/>
      <c r="D1021"/>
      <c r="E1021"/>
      <c r="F1021"/>
      <c r="G1021"/>
      <c r="H1021"/>
      <c r="I1021"/>
      <c r="J1021" s="3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  <c r="AA1021" s="2"/>
    </row>
    <row r="1022" spans="1:27" s="1" customFormat="1">
      <c r="A1022"/>
      <c r="B1022"/>
      <c r="C1022"/>
      <c r="D1022"/>
      <c r="E1022"/>
      <c r="F1022"/>
      <c r="G1022"/>
      <c r="H1022"/>
      <c r="I1022"/>
      <c r="J1022" s="3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  <c r="AA1022" s="2"/>
    </row>
    <row r="1023" spans="1:27" s="1" customFormat="1">
      <c r="A1023"/>
      <c r="B1023"/>
      <c r="C1023"/>
      <c r="D1023"/>
      <c r="E1023"/>
      <c r="F1023"/>
      <c r="G1023"/>
      <c r="H1023"/>
      <c r="I1023"/>
      <c r="J1023" s="3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  <c r="AA1023" s="2"/>
    </row>
    <row r="1024" spans="1:27" s="1" customFormat="1">
      <c r="A1024"/>
      <c r="B1024"/>
      <c r="C1024"/>
      <c r="D1024"/>
      <c r="E1024"/>
      <c r="F1024"/>
      <c r="G1024"/>
      <c r="H1024"/>
      <c r="I1024"/>
      <c r="J1024" s="3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  <c r="AA1024" s="2"/>
    </row>
    <row r="1025" spans="1:27" s="1" customFormat="1">
      <c r="A1025"/>
      <c r="B1025"/>
      <c r="C1025"/>
      <c r="D1025"/>
      <c r="E1025"/>
      <c r="F1025"/>
      <c r="G1025"/>
      <c r="H1025"/>
      <c r="I1025"/>
      <c r="J1025" s="3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  <c r="AA1025" s="2"/>
    </row>
    <row r="1026" spans="1:27" s="1" customFormat="1">
      <c r="A1026"/>
      <c r="B1026"/>
      <c r="C1026"/>
      <c r="D1026"/>
      <c r="E1026"/>
      <c r="F1026"/>
      <c r="G1026"/>
      <c r="H1026"/>
      <c r="I1026"/>
      <c r="J1026" s="3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  <c r="AA1026" s="2"/>
    </row>
    <row r="1027" spans="1:27" s="1" customFormat="1">
      <c r="A1027"/>
      <c r="B1027"/>
      <c r="C1027"/>
      <c r="D1027"/>
      <c r="E1027"/>
      <c r="F1027"/>
      <c r="G1027"/>
      <c r="H1027"/>
      <c r="I1027"/>
      <c r="J1027" s="3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  <c r="AA1027" s="2"/>
    </row>
    <row r="1028" spans="1:27" s="1" customFormat="1">
      <c r="A1028"/>
      <c r="B1028"/>
      <c r="C1028"/>
      <c r="D1028"/>
      <c r="E1028"/>
      <c r="F1028"/>
      <c r="G1028"/>
      <c r="H1028"/>
      <c r="I1028"/>
      <c r="J1028" s="3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  <c r="AA1028" s="2"/>
    </row>
    <row r="1029" spans="1:27" s="1" customFormat="1">
      <c r="A1029"/>
      <c r="B1029"/>
      <c r="C1029"/>
      <c r="D1029"/>
      <c r="E1029"/>
      <c r="F1029"/>
      <c r="G1029"/>
      <c r="H1029"/>
      <c r="I1029"/>
      <c r="J1029" s="3"/>
      <c r="K1029" s="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2"/>
      <c r="W1029" s="12"/>
      <c r="X1029" s="2"/>
      <c r="Y1029" s="2"/>
      <c r="Z1029" s="2"/>
      <c r="AA1029" s="2"/>
    </row>
    <row r="1030" spans="1:27" s="1" customFormat="1">
      <c r="A1030"/>
      <c r="B1030"/>
      <c r="C1030"/>
      <c r="D1030"/>
      <c r="E1030"/>
      <c r="F1030"/>
      <c r="G1030"/>
      <c r="H1030"/>
      <c r="I1030"/>
      <c r="J1030" s="3"/>
      <c r="K1030" s="2"/>
      <c r="L1030" s="14"/>
      <c r="M1030" s="14"/>
      <c r="N1030" s="14"/>
      <c r="O1030" s="12"/>
      <c r="P1030" s="12"/>
      <c r="Q1030" s="12"/>
      <c r="R1030" s="14"/>
      <c r="S1030" s="14"/>
      <c r="T1030" s="12"/>
      <c r="U1030" s="2"/>
      <c r="V1030" s="12"/>
      <c r="W1030" s="2"/>
      <c r="X1030" s="2"/>
      <c r="Y1030" s="2"/>
      <c r="Z1030" s="2"/>
      <c r="AA1030" s="2"/>
    </row>
    <row r="1031" spans="1:27" s="1" customFormat="1">
      <c r="A1031"/>
      <c r="B1031"/>
      <c r="C1031"/>
      <c r="D1031"/>
      <c r="E1031"/>
      <c r="F1031"/>
      <c r="G1031"/>
      <c r="H1031"/>
      <c r="I1031"/>
      <c r="J1031" s="3"/>
      <c r="K1031" s="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3"/>
      <c r="V1031" s="13"/>
      <c r="W1031" s="12"/>
      <c r="X1031" s="2"/>
      <c r="Y1031" s="2"/>
      <c r="Z1031" s="2"/>
      <c r="AA1031" s="2"/>
    </row>
    <row r="1032" spans="1:27" s="1" customFormat="1">
      <c r="A1032"/>
      <c r="B1032"/>
      <c r="C1032"/>
      <c r="D1032"/>
      <c r="E1032"/>
      <c r="F1032"/>
      <c r="G1032"/>
      <c r="H1032"/>
      <c r="I1032"/>
      <c r="J1032" s="3"/>
      <c r="K1032" s="2"/>
      <c r="L1032" s="10"/>
      <c r="M1032" s="10"/>
      <c r="N1032" s="9"/>
      <c r="O1032" s="6"/>
      <c r="P1032" s="8"/>
      <c r="Q1032" s="6"/>
      <c r="R1032" s="8"/>
      <c r="S1032" s="6"/>
      <c r="T1032" s="8"/>
      <c r="U1032" s="7"/>
      <c r="V1032" s="7"/>
      <c r="W1032" s="6"/>
      <c r="X1032" s="2"/>
      <c r="Y1032" s="2"/>
      <c r="Z1032" s="2"/>
      <c r="AA1032" s="2"/>
    </row>
    <row r="1033" spans="1:27" s="1" customFormat="1">
      <c r="A1033"/>
      <c r="B1033"/>
      <c r="C1033"/>
      <c r="D1033"/>
      <c r="E1033"/>
      <c r="F1033"/>
      <c r="G1033"/>
      <c r="H1033"/>
      <c r="I1033"/>
      <c r="J1033" s="3"/>
      <c r="K1033" s="11"/>
      <c r="L1033" s="10"/>
      <c r="M1033" s="10"/>
      <c r="N1033" s="9"/>
      <c r="O1033" s="6"/>
      <c r="P1033" s="8"/>
      <c r="Q1033" s="6"/>
      <c r="R1033" s="8"/>
      <c r="S1033" s="6"/>
      <c r="T1033" s="8"/>
      <c r="U1033" s="7"/>
      <c r="V1033" s="7"/>
      <c r="W1033" s="6"/>
      <c r="X1033" s="2"/>
      <c r="Y1033" s="2"/>
      <c r="Z1033" s="2"/>
      <c r="AA1033" s="2"/>
    </row>
    <row r="1034" spans="1:27" s="1" customFormat="1">
      <c r="A1034"/>
      <c r="B1034"/>
      <c r="C1034"/>
      <c r="D1034"/>
      <c r="E1034"/>
      <c r="F1034"/>
      <c r="G1034"/>
      <c r="H1034"/>
      <c r="I1034"/>
      <c r="J1034" s="3"/>
      <c r="K1034" s="2"/>
      <c r="L1034" s="10"/>
      <c r="M1034" s="10"/>
      <c r="N1034" s="9"/>
      <c r="O1034" s="6"/>
      <c r="P1034" s="8"/>
      <c r="Q1034" s="6"/>
      <c r="R1034" s="8"/>
      <c r="S1034" s="6"/>
      <c r="T1034" s="8"/>
      <c r="U1034" s="7"/>
      <c r="V1034" s="7"/>
      <c r="W1034" s="6"/>
      <c r="X1034" s="2"/>
      <c r="Y1034" s="2"/>
      <c r="Z1034" s="2"/>
      <c r="AA1034" s="2"/>
    </row>
    <row r="1035" spans="1:27" s="1" customFormat="1">
      <c r="A1035"/>
      <c r="B1035"/>
      <c r="C1035"/>
      <c r="D1035"/>
      <c r="E1035"/>
      <c r="F1035"/>
      <c r="G1035"/>
      <c r="H1035"/>
      <c r="I1035"/>
      <c r="J1035" s="3"/>
      <c r="K1035" s="2"/>
      <c r="L1035" s="10"/>
      <c r="M1035" s="10"/>
      <c r="N1035" s="9"/>
      <c r="O1035" s="6"/>
      <c r="P1035" s="8"/>
      <c r="Q1035" s="6"/>
      <c r="R1035" s="8"/>
      <c r="S1035" s="6"/>
      <c r="T1035" s="8"/>
      <c r="U1035" s="7"/>
      <c r="V1035" s="7"/>
      <c r="W1035" s="6"/>
      <c r="X1035" s="2"/>
      <c r="Y1035" s="2"/>
      <c r="Z1035" s="2"/>
      <c r="AA1035" s="2"/>
    </row>
    <row r="1036" spans="1:27" s="1" customFormat="1">
      <c r="A1036"/>
      <c r="B1036"/>
      <c r="C1036"/>
      <c r="D1036"/>
      <c r="E1036"/>
      <c r="F1036"/>
      <c r="G1036"/>
      <c r="H1036"/>
      <c r="I1036"/>
      <c r="J1036" s="3"/>
      <c r="K1036" s="2"/>
      <c r="L1036" s="2"/>
      <c r="M1036" s="2"/>
      <c r="N1036" s="2"/>
      <c r="O1036" s="6"/>
      <c r="P1036" s="8"/>
      <c r="Q1036" s="6"/>
      <c r="R1036" s="8"/>
      <c r="S1036" s="6"/>
      <c r="T1036" s="8"/>
      <c r="U1036" s="7"/>
      <c r="V1036" s="7"/>
      <c r="W1036" s="6"/>
      <c r="X1036" s="2"/>
      <c r="Y1036" s="2"/>
      <c r="Z1036" s="2"/>
      <c r="AA1036" s="2"/>
    </row>
    <row r="1037" spans="1:27" s="1" customFormat="1">
      <c r="A1037"/>
      <c r="B1037"/>
      <c r="C1037"/>
      <c r="D1037"/>
      <c r="E1037"/>
      <c r="F1037"/>
      <c r="G1037"/>
      <c r="H1037"/>
      <c r="I1037"/>
      <c r="J1037" s="3"/>
      <c r="K1037" s="2"/>
      <c r="L1037" s="2"/>
      <c r="M1037" s="2"/>
      <c r="N1037" s="2"/>
      <c r="O1037" s="5"/>
      <c r="P1037" s="4"/>
      <c r="Q1037" s="2"/>
      <c r="R1037" s="2"/>
      <c r="S1037" s="2"/>
      <c r="T1037" s="2"/>
      <c r="U1037" s="2"/>
      <c r="V1037" s="2"/>
      <c r="W1037" s="2"/>
      <c r="X1037" s="2"/>
      <c r="Y1037" s="2"/>
      <c r="Z1037" s="2"/>
      <c r="AA1037" s="2"/>
    </row>
    <row r="1038" spans="1:27" s="1" customFormat="1">
      <c r="A1038"/>
      <c r="B1038"/>
      <c r="C1038"/>
      <c r="D1038"/>
      <c r="E1038"/>
      <c r="F1038"/>
      <c r="G1038"/>
      <c r="H1038"/>
      <c r="I1038"/>
      <c r="J1038" s="3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  <c r="AA1038" s="2"/>
    </row>
    <row r="1039" spans="1:27" s="1" customFormat="1">
      <c r="A1039"/>
      <c r="B1039"/>
      <c r="C1039"/>
      <c r="D1039"/>
      <c r="E1039"/>
      <c r="F1039"/>
      <c r="G1039"/>
      <c r="H1039"/>
      <c r="I1039"/>
      <c r="J1039" s="3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  <c r="AA1039" s="2"/>
    </row>
    <row r="1040" spans="1:27" s="1" customFormat="1">
      <c r="A1040"/>
      <c r="B1040"/>
      <c r="C1040"/>
      <c r="D1040"/>
      <c r="E1040"/>
      <c r="F1040"/>
      <c r="G1040"/>
      <c r="H1040"/>
      <c r="I1040"/>
      <c r="J1040" s="3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  <c r="AA1040" s="2"/>
    </row>
    <row r="1041" spans="1:27" s="1" customFormat="1">
      <c r="A1041"/>
      <c r="B1041"/>
      <c r="C1041"/>
      <c r="D1041"/>
      <c r="E1041"/>
      <c r="F1041"/>
      <c r="G1041"/>
      <c r="H1041"/>
      <c r="I1041"/>
      <c r="J1041" s="3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  <c r="AA1041" s="2"/>
    </row>
    <row r="1042" spans="1:27" s="1" customFormat="1">
      <c r="A1042"/>
      <c r="B1042"/>
      <c r="C1042"/>
      <c r="D1042"/>
      <c r="E1042"/>
      <c r="F1042"/>
      <c r="G1042"/>
      <c r="H1042"/>
      <c r="I1042"/>
      <c r="J1042" s="3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  <c r="AA1042" s="2"/>
    </row>
    <row r="1043" spans="1:27" s="1" customFormat="1">
      <c r="A1043"/>
      <c r="B1043"/>
      <c r="C1043"/>
      <c r="D1043"/>
      <c r="E1043"/>
      <c r="F1043"/>
      <c r="G1043"/>
      <c r="H1043"/>
      <c r="I1043"/>
      <c r="J1043" s="3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  <c r="AA1043" s="2"/>
    </row>
    <row r="1044" spans="1:27" s="1" customFormat="1">
      <c r="A1044"/>
      <c r="B1044"/>
      <c r="C1044"/>
      <c r="D1044"/>
      <c r="E1044"/>
      <c r="F1044"/>
      <c r="G1044"/>
      <c r="H1044"/>
      <c r="I1044"/>
      <c r="J1044" s="3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  <c r="AA1044" s="2"/>
    </row>
    <row r="1045" spans="1:27" s="1" customFormat="1">
      <c r="A1045"/>
      <c r="B1045"/>
      <c r="C1045"/>
      <c r="D1045"/>
      <c r="E1045"/>
      <c r="F1045"/>
      <c r="G1045"/>
      <c r="H1045"/>
      <c r="I1045"/>
      <c r="J1045" s="3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  <c r="AA1045" s="2"/>
    </row>
    <row r="1046" spans="1:27" s="1" customFormat="1">
      <c r="A1046"/>
      <c r="B1046"/>
      <c r="C1046"/>
      <c r="D1046"/>
      <c r="E1046"/>
      <c r="F1046"/>
      <c r="G1046"/>
      <c r="H1046"/>
      <c r="I1046"/>
      <c r="J1046" s="3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  <c r="AA1046" s="2"/>
    </row>
    <row r="1047" spans="1:27" s="1" customFormat="1">
      <c r="A1047"/>
      <c r="B1047"/>
      <c r="C1047"/>
      <c r="D1047"/>
      <c r="E1047"/>
      <c r="F1047"/>
      <c r="G1047"/>
      <c r="H1047"/>
      <c r="I1047"/>
      <c r="J1047" s="3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  <c r="AA1047" s="2"/>
    </row>
    <row r="1048" spans="1:27" s="1" customFormat="1">
      <c r="A1048"/>
      <c r="B1048"/>
      <c r="C1048"/>
      <c r="D1048"/>
      <c r="E1048"/>
      <c r="F1048"/>
      <c r="G1048"/>
      <c r="H1048"/>
      <c r="I1048"/>
      <c r="J1048" s="3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  <c r="AA1048" s="2"/>
    </row>
    <row r="1049" spans="1:27" s="1" customFormat="1">
      <c r="A1049"/>
      <c r="B1049"/>
      <c r="C1049"/>
      <c r="D1049"/>
      <c r="E1049"/>
      <c r="F1049"/>
      <c r="G1049"/>
      <c r="H1049"/>
      <c r="I1049"/>
      <c r="J1049" s="3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  <c r="AA1049" s="2"/>
    </row>
    <row r="1050" spans="1:27" s="1" customFormat="1">
      <c r="A1050"/>
      <c r="B1050"/>
      <c r="C1050"/>
      <c r="D1050"/>
      <c r="E1050"/>
      <c r="F1050"/>
      <c r="G1050"/>
      <c r="H1050"/>
      <c r="I1050"/>
      <c r="J1050" s="3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  <c r="AA1050" s="2"/>
    </row>
    <row r="1051" spans="1:27" s="1" customFormat="1">
      <c r="A1051"/>
      <c r="B1051"/>
      <c r="C1051"/>
      <c r="D1051"/>
      <c r="E1051"/>
      <c r="F1051"/>
      <c r="G1051"/>
      <c r="H1051"/>
      <c r="I1051"/>
      <c r="J1051" s="3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  <c r="AA1051" s="2"/>
    </row>
    <row r="1052" spans="1:27" s="1" customFormat="1">
      <c r="A1052"/>
      <c r="B1052"/>
      <c r="C1052"/>
      <c r="D1052"/>
      <c r="E1052"/>
      <c r="F1052"/>
      <c r="G1052"/>
      <c r="H1052"/>
      <c r="I1052"/>
      <c r="J1052" s="3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  <c r="AA1052" s="2"/>
    </row>
    <row r="1053" spans="1:27" s="1" customFormat="1">
      <c r="A1053"/>
      <c r="B1053"/>
      <c r="C1053"/>
      <c r="D1053"/>
      <c r="E1053"/>
      <c r="F1053"/>
      <c r="G1053"/>
      <c r="H1053"/>
      <c r="I1053"/>
      <c r="J1053" s="3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  <c r="AA1053" s="2"/>
    </row>
    <row r="1054" spans="1:27" s="1" customFormat="1">
      <c r="A1054"/>
      <c r="B1054"/>
      <c r="C1054"/>
      <c r="D1054"/>
      <c r="E1054"/>
      <c r="F1054"/>
      <c r="G1054"/>
      <c r="H1054"/>
      <c r="I1054"/>
      <c r="J1054" s="3"/>
      <c r="K1054" s="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2"/>
      <c r="W1054" s="12"/>
      <c r="X1054" s="2"/>
      <c r="Y1054" s="2"/>
      <c r="Z1054" s="2"/>
      <c r="AA1054" s="2"/>
    </row>
    <row r="1055" spans="1:27" s="1" customFormat="1">
      <c r="A1055"/>
      <c r="B1055"/>
      <c r="C1055"/>
      <c r="D1055"/>
      <c r="E1055"/>
      <c r="F1055"/>
      <c r="G1055"/>
      <c r="H1055"/>
      <c r="I1055"/>
      <c r="J1055" s="3"/>
      <c r="K1055" s="2"/>
      <c r="L1055" s="14"/>
      <c r="M1055" s="14"/>
      <c r="N1055" s="14"/>
      <c r="O1055" s="12"/>
      <c r="P1055" s="12"/>
      <c r="Q1055" s="12"/>
      <c r="R1055" s="14"/>
      <c r="S1055" s="14"/>
      <c r="T1055" s="12"/>
      <c r="U1055" s="2"/>
      <c r="V1055" s="12"/>
      <c r="W1055" s="2"/>
      <c r="X1055" s="2"/>
      <c r="Y1055" s="2"/>
      <c r="Z1055" s="2"/>
      <c r="AA1055" s="2"/>
    </row>
    <row r="1056" spans="1:27" s="1" customFormat="1">
      <c r="A1056"/>
      <c r="B1056"/>
      <c r="C1056"/>
      <c r="D1056"/>
      <c r="E1056"/>
      <c r="F1056"/>
      <c r="G1056"/>
      <c r="H1056"/>
      <c r="I1056"/>
      <c r="J1056" s="3"/>
      <c r="K1056" s="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3"/>
      <c r="V1056" s="13"/>
      <c r="W1056" s="12"/>
      <c r="X1056" s="2"/>
      <c r="Y1056" s="2"/>
      <c r="Z1056" s="2"/>
      <c r="AA1056" s="2"/>
    </row>
    <row r="1057" spans="1:27" s="1" customFormat="1">
      <c r="A1057"/>
      <c r="B1057"/>
      <c r="C1057"/>
      <c r="D1057"/>
      <c r="E1057"/>
      <c r="F1057"/>
      <c r="G1057"/>
      <c r="H1057"/>
      <c r="I1057"/>
      <c r="J1057" s="3"/>
      <c r="K1057" s="2"/>
      <c r="L1057" s="10"/>
      <c r="M1057" s="10"/>
      <c r="N1057" s="9"/>
      <c r="O1057" s="6"/>
      <c r="P1057" s="8"/>
      <c r="Q1057" s="6"/>
      <c r="R1057" s="8"/>
      <c r="S1057" s="6"/>
      <c r="T1057" s="8"/>
      <c r="U1057" s="7"/>
      <c r="V1057" s="7"/>
      <c r="W1057" s="6"/>
      <c r="X1057" s="2"/>
      <c r="Y1057" s="2"/>
      <c r="Z1057" s="2"/>
      <c r="AA1057" s="2"/>
    </row>
    <row r="1058" spans="1:27" s="1" customFormat="1">
      <c r="A1058"/>
      <c r="B1058"/>
      <c r="C1058"/>
      <c r="D1058"/>
      <c r="E1058"/>
      <c r="F1058"/>
      <c r="G1058"/>
      <c r="H1058"/>
      <c r="I1058"/>
      <c r="J1058" s="3"/>
      <c r="K1058" s="11"/>
      <c r="L1058" s="10"/>
      <c r="M1058" s="10"/>
      <c r="N1058" s="9"/>
      <c r="O1058" s="6"/>
      <c r="P1058" s="8"/>
      <c r="Q1058" s="6"/>
      <c r="R1058" s="8"/>
      <c r="S1058" s="6"/>
      <c r="T1058" s="8"/>
      <c r="U1058" s="7"/>
      <c r="V1058" s="7"/>
      <c r="W1058" s="6"/>
      <c r="X1058" s="2"/>
      <c r="Y1058" s="2"/>
      <c r="Z1058" s="2"/>
      <c r="AA1058" s="2"/>
    </row>
    <row r="1059" spans="1:27" s="1" customFormat="1">
      <c r="A1059"/>
      <c r="B1059"/>
      <c r="C1059"/>
      <c r="D1059"/>
      <c r="E1059"/>
      <c r="F1059"/>
      <c r="G1059"/>
      <c r="H1059"/>
      <c r="I1059"/>
      <c r="J1059" s="3"/>
      <c r="K1059" s="2"/>
      <c r="L1059" s="10"/>
      <c r="M1059" s="10"/>
      <c r="N1059" s="9"/>
      <c r="O1059" s="6"/>
      <c r="P1059" s="8"/>
      <c r="Q1059" s="6"/>
      <c r="R1059" s="8"/>
      <c r="S1059" s="6"/>
      <c r="T1059" s="8"/>
      <c r="U1059" s="7"/>
      <c r="V1059" s="7"/>
      <c r="W1059" s="6"/>
      <c r="X1059" s="2"/>
      <c r="Y1059" s="2"/>
      <c r="Z1059" s="2"/>
      <c r="AA1059" s="2"/>
    </row>
    <row r="1060" spans="1:27" s="1" customFormat="1">
      <c r="A1060"/>
      <c r="B1060"/>
      <c r="C1060"/>
      <c r="D1060"/>
      <c r="E1060"/>
      <c r="F1060"/>
      <c r="G1060"/>
      <c r="H1060"/>
      <c r="I1060"/>
      <c r="J1060" s="3"/>
      <c r="K1060" s="2"/>
      <c r="L1060" s="10"/>
      <c r="M1060" s="10"/>
      <c r="N1060" s="9"/>
      <c r="O1060" s="6"/>
      <c r="P1060" s="8"/>
      <c r="Q1060" s="6"/>
      <c r="R1060" s="8"/>
      <c r="S1060" s="6"/>
      <c r="T1060" s="8"/>
      <c r="U1060" s="7"/>
      <c r="V1060" s="7"/>
      <c r="W1060" s="6"/>
      <c r="X1060" s="2"/>
      <c r="Y1060" s="2"/>
      <c r="Z1060" s="2"/>
      <c r="AA1060" s="2"/>
    </row>
    <row r="1061" spans="1:27" s="1" customFormat="1">
      <c r="A1061"/>
      <c r="B1061"/>
      <c r="C1061"/>
      <c r="D1061"/>
      <c r="E1061"/>
      <c r="F1061"/>
      <c r="G1061"/>
      <c r="H1061"/>
      <c r="I1061"/>
      <c r="J1061" s="3"/>
      <c r="K1061" s="2"/>
      <c r="L1061" s="2"/>
      <c r="M1061" s="2"/>
      <c r="N1061" s="2"/>
      <c r="O1061" s="6"/>
      <c r="P1061" s="8"/>
      <c r="Q1061" s="6"/>
      <c r="R1061" s="8"/>
      <c r="S1061" s="6"/>
      <c r="T1061" s="8"/>
      <c r="U1061" s="7"/>
      <c r="V1061" s="7"/>
      <c r="W1061" s="6"/>
      <c r="X1061" s="2"/>
      <c r="Y1061" s="2"/>
      <c r="Z1061" s="2"/>
      <c r="AA1061" s="2"/>
    </row>
    <row r="1062" spans="1:27" s="1" customFormat="1">
      <c r="A1062"/>
      <c r="B1062"/>
      <c r="C1062"/>
      <c r="D1062"/>
      <c r="E1062"/>
      <c r="F1062"/>
      <c r="G1062"/>
      <c r="H1062"/>
      <c r="I1062"/>
      <c r="J1062" s="3"/>
      <c r="K1062" s="2"/>
      <c r="L1062" s="2"/>
      <c r="M1062" s="2"/>
      <c r="N1062" s="2"/>
      <c r="O1062" s="5"/>
      <c r="P1062" s="4"/>
      <c r="Q1062" s="2"/>
      <c r="R1062" s="2"/>
      <c r="S1062" s="2"/>
      <c r="T1062" s="2"/>
      <c r="U1062" s="2"/>
      <c r="V1062" s="2"/>
      <c r="W1062" s="2"/>
      <c r="X1062" s="2"/>
      <c r="Y1062" s="2"/>
      <c r="Z1062" s="2"/>
      <c r="AA1062" s="2"/>
    </row>
    <row r="1063" spans="1:27" s="1" customFormat="1">
      <c r="A1063"/>
      <c r="B1063"/>
      <c r="C1063"/>
      <c r="D1063"/>
      <c r="E1063"/>
      <c r="F1063"/>
      <c r="G1063"/>
      <c r="H1063"/>
      <c r="I1063"/>
      <c r="J1063" s="3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  <c r="AA1063" s="2"/>
    </row>
    <row r="1064" spans="1:27" s="1" customFormat="1">
      <c r="A1064"/>
      <c r="B1064"/>
      <c r="C1064"/>
      <c r="D1064"/>
      <c r="E1064"/>
      <c r="F1064"/>
      <c r="G1064"/>
      <c r="H1064"/>
      <c r="I1064"/>
      <c r="J1064" s="3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  <c r="AA1064" s="2"/>
    </row>
    <row r="1065" spans="1:27" s="1" customFormat="1">
      <c r="A1065"/>
      <c r="B1065"/>
      <c r="C1065"/>
      <c r="D1065"/>
      <c r="E1065"/>
      <c r="F1065"/>
      <c r="G1065"/>
      <c r="H1065"/>
      <c r="I1065"/>
      <c r="J1065" s="3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  <c r="AA1065" s="2"/>
    </row>
    <row r="1066" spans="1:27" s="1" customFormat="1">
      <c r="A1066"/>
      <c r="B1066"/>
      <c r="C1066"/>
      <c r="D1066"/>
      <c r="E1066"/>
      <c r="F1066"/>
      <c r="G1066"/>
      <c r="H1066"/>
      <c r="I1066"/>
      <c r="J1066" s="3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  <c r="AA1066" s="2"/>
    </row>
    <row r="1067" spans="1:27" s="1" customFormat="1">
      <c r="A1067"/>
      <c r="B1067"/>
      <c r="C1067"/>
      <c r="D1067"/>
      <c r="E1067"/>
      <c r="F1067"/>
      <c r="G1067"/>
      <c r="H1067"/>
      <c r="I1067"/>
      <c r="J1067" s="3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  <c r="AA1067" s="2"/>
    </row>
    <row r="1068" spans="1:27" s="1" customFormat="1">
      <c r="A1068"/>
      <c r="B1068"/>
      <c r="C1068"/>
      <c r="D1068"/>
      <c r="E1068"/>
      <c r="F1068"/>
      <c r="G1068"/>
      <c r="H1068"/>
      <c r="I1068"/>
      <c r="J1068" s="3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  <c r="AA1068" s="2"/>
    </row>
    <row r="1069" spans="1:27" s="1" customFormat="1">
      <c r="A1069"/>
      <c r="B1069"/>
      <c r="C1069"/>
      <c r="D1069"/>
      <c r="E1069"/>
      <c r="F1069"/>
      <c r="G1069"/>
      <c r="H1069"/>
      <c r="I1069"/>
      <c r="J1069" s="3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  <c r="AA1069" s="2"/>
    </row>
    <row r="1070" spans="1:27" s="1" customFormat="1">
      <c r="A1070"/>
      <c r="B1070"/>
      <c r="C1070"/>
      <c r="D1070"/>
      <c r="E1070"/>
      <c r="F1070"/>
      <c r="G1070"/>
      <c r="H1070"/>
      <c r="I1070"/>
      <c r="J1070" s="3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  <c r="AA1070" s="2"/>
    </row>
    <row r="1071" spans="1:27" s="1" customFormat="1">
      <c r="A1071"/>
      <c r="B1071"/>
      <c r="C1071"/>
      <c r="D1071"/>
      <c r="E1071"/>
      <c r="F1071"/>
      <c r="G1071"/>
      <c r="H1071"/>
      <c r="I1071"/>
      <c r="J1071" s="3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  <c r="AA1071" s="2"/>
    </row>
    <row r="1072" spans="1:27" s="1" customFormat="1">
      <c r="A1072"/>
      <c r="B1072"/>
      <c r="C1072"/>
      <c r="D1072"/>
      <c r="E1072"/>
      <c r="F1072"/>
      <c r="G1072"/>
      <c r="H1072"/>
      <c r="I1072"/>
      <c r="J1072" s="3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  <c r="AA1072" s="2"/>
    </row>
    <row r="1073" spans="1:27" s="1" customFormat="1">
      <c r="A1073"/>
      <c r="B1073"/>
      <c r="C1073"/>
      <c r="D1073"/>
      <c r="E1073"/>
      <c r="F1073"/>
      <c r="G1073"/>
      <c r="H1073"/>
      <c r="I1073"/>
      <c r="J1073" s="3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  <c r="AA1073" s="2"/>
    </row>
    <row r="1074" spans="1:27" s="1" customFormat="1">
      <c r="A1074"/>
      <c r="B1074"/>
      <c r="C1074"/>
      <c r="D1074"/>
      <c r="E1074"/>
      <c r="F1074"/>
      <c r="G1074"/>
      <c r="H1074"/>
      <c r="I1074"/>
      <c r="J1074" s="3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  <c r="AA1074" s="2"/>
    </row>
    <row r="1075" spans="1:27" s="1" customFormat="1">
      <c r="A1075"/>
      <c r="B1075"/>
      <c r="C1075"/>
      <c r="D1075"/>
      <c r="E1075"/>
      <c r="F1075"/>
      <c r="G1075"/>
      <c r="H1075"/>
      <c r="I1075"/>
      <c r="J1075" s="3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  <c r="AA1075" s="2"/>
    </row>
    <row r="1076" spans="1:27" s="1" customFormat="1">
      <c r="A1076"/>
      <c r="B1076"/>
      <c r="C1076"/>
      <c r="D1076"/>
      <c r="E1076"/>
      <c r="F1076"/>
      <c r="G1076"/>
      <c r="H1076"/>
      <c r="I1076"/>
      <c r="J1076" s="3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  <c r="AA1076" s="2"/>
    </row>
    <row r="1077" spans="1:27" s="1" customFormat="1">
      <c r="A1077"/>
      <c r="B1077"/>
      <c r="C1077"/>
      <c r="D1077"/>
      <c r="E1077"/>
      <c r="F1077"/>
      <c r="G1077"/>
      <c r="H1077"/>
      <c r="I1077"/>
      <c r="J1077" s="3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  <c r="AA1077" s="2"/>
    </row>
    <row r="1078" spans="1:27" s="1" customFormat="1">
      <c r="A1078"/>
      <c r="B1078"/>
      <c r="C1078"/>
      <c r="D1078"/>
      <c r="E1078"/>
      <c r="F1078"/>
      <c r="G1078"/>
      <c r="H1078"/>
      <c r="I1078"/>
      <c r="J1078" s="3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  <c r="AA1078" s="2"/>
    </row>
    <row r="1079" spans="1:27" s="1" customFormat="1">
      <c r="A1079"/>
      <c r="B1079"/>
      <c r="C1079"/>
      <c r="D1079"/>
      <c r="E1079"/>
      <c r="F1079"/>
      <c r="G1079"/>
      <c r="H1079"/>
      <c r="I1079"/>
      <c r="J1079" s="3"/>
      <c r="K1079" s="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2"/>
      <c r="W1079" s="12"/>
      <c r="X1079" s="2"/>
      <c r="Y1079" s="2"/>
      <c r="Z1079" s="2"/>
      <c r="AA1079" s="2"/>
    </row>
    <row r="1080" spans="1:27" s="1" customFormat="1">
      <c r="A1080"/>
      <c r="B1080"/>
      <c r="C1080"/>
      <c r="D1080"/>
      <c r="E1080"/>
      <c r="F1080"/>
      <c r="G1080"/>
      <c r="H1080"/>
      <c r="I1080"/>
      <c r="J1080" s="3"/>
      <c r="K1080" s="2"/>
      <c r="L1080" s="14"/>
      <c r="M1080" s="14"/>
      <c r="N1080" s="14"/>
      <c r="O1080" s="12"/>
      <c r="P1080" s="12"/>
      <c r="Q1080" s="12"/>
      <c r="R1080" s="14"/>
      <c r="S1080" s="14"/>
      <c r="T1080" s="12"/>
      <c r="U1080" s="2"/>
      <c r="V1080" s="12"/>
      <c r="W1080" s="2"/>
      <c r="X1080" s="2"/>
      <c r="Y1080" s="2"/>
      <c r="Z1080" s="2"/>
      <c r="AA1080" s="2"/>
    </row>
    <row r="1081" spans="1:27" s="1" customFormat="1">
      <c r="A1081"/>
      <c r="B1081"/>
      <c r="C1081"/>
      <c r="D1081"/>
      <c r="E1081"/>
      <c r="F1081"/>
      <c r="G1081"/>
      <c r="H1081"/>
      <c r="I1081"/>
      <c r="J1081" s="3"/>
      <c r="K1081" s="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3"/>
      <c r="V1081" s="13"/>
      <c r="W1081" s="12"/>
      <c r="X1081" s="2"/>
      <c r="Y1081" s="2"/>
      <c r="Z1081" s="2"/>
      <c r="AA1081" s="2"/>
    </row>
    <row r="1082" spans="1:27" s="1" customFormat="1">
      <c r="A1082"/>
      <c r="B1082"/>
      <c r="C1082"/>
      <c r="D1082"/>
      <c r="E1082"/>
      <c r="F1082"/>
      <c r="G1082"/>
      <c r="H1082"/>
      <c r="I1082"/>
      <c r="J1082" s="3"/>
      <c r="K1082" s="2"/>
      <c r="L1082" s="10"/>
      <c r="M1082" s="10"/>
      <c r="N1082" s="9"/>
      <c r="O1082" s="6"/>
      <c r="P1082" s="8"/>
      <c r="Q1082" s="6"/>
      <c r="R1082" s="8"/>
      <c r="S1082" s="6"/>
      <c r="T1082" s="8"/>
      <c r="U1082" s="7"/>
      <c r="V1082" s="7"/>
      <c r="W1082" s="6"/>
      <c r="X1082" s="2"/>
      <c r="Y1082" s="2"/>
      <c r="Z1082" s="2"/>
      <c r="AA1082" s="2"/>
    </row>
    <row r="1083" spans="1:27" s="1" customFormat="1">
      <c r="A1083"/>
      <c r="B1083"/>
      <c r="C1083"/>
      <c r="D1083"/>
      <c r="E1083"/>
      <c r="F1083"/>
      <c r="G1083"/>
      <c r="H1083"/>
      <c r="I1083"/>
      <c r="J1083" s="3"/>
      <c r="K1083" s="11"/>
      <c r="L1083" s="10"/>
      <c r="M1083" s="10"/>
      <c r="N1083" s="9"/>
      <c r="O1083" s="6"/>
      <c r="P1083" s="8"/>
      <c r="Q1083" s="6"/>
      <c r="R1083" s="8"/>
      <c r="S1083" s="6"/>
      <c r="T1083" s="8"/>
      <c r="U1083" s="7"/>
      <c r="V1083" s="7"/>
      <c r="W1083" s="6"/>
      <c r="X1083" s="2"/>
      <c r="Y1083" s="2"/>
      <c r="Z1083" s="2"/>
      <c r="AA1083" s="2"/>
    </row>
    <row r="1084" spans="1:27" s="1" customFormat="1">
      <c r="A1084"/>
      <c r="B1084"/>
      <c r="C1084"/>
      <c r="D1084"/>
      <c r="E1084"/>
      <c r="F1084"/>
      <c r="G1084"/>
      <c r="H1084"/>
      <c r="I1084"/>
      <c r="J1084" s="3"/>
      <c r="K1084" s="2"/>
      <c r="L1084" s="10"/>
      <c r="M1084" s="10"/>
      <c r="N1084" s="9"/>
      <c r="O1084" s="6"/>
      <c r="P1084" s="8"/>
      <c r="Q1084" s="6"/>
      <c r="R1084" s="8"/>
      <c r="S1084" s="6"/>
      <c r="T1084" s="8"/>
      <c r="U1084" s="7"/>
      <c r="V1084" s="7"/>
      <c r="W1084" s="6"/>
      <c r="X1084" s="2"/>
      <c r="Y1084" s="2"/>
      <c r="Z1084" s="2"/>
      <c r="AA1084" s="2"/>
    </row>
    <row r="1085" spans="1:27" s="1" customFormat="1">
      <c r="A1085"/>
      <c r="B1085"/>
      <c r="C1085"/>
      <c r="D1085"/>
      <c r="E1085"/>
      <c r="F1085"/>
      <c r="G1085"/>
      <c r="H1085"/>
      <c r="I1085"/>
      <c r="J1085" s="3"/>
      <c r="K1085" s="2"/>
      <c r="L1085" s="10"/>
      <c r="M1085" s="10"/>
      <c r="N1085" s="9"/>
      <c r="O1085" s="6"/>
      <c r="P1085" s="8"/>
      <c r="Q1085" s="6"/>
      <c r="R1085" s="8"/>
      <c r="S1085" s="6"/>
      <c r="T1085" s="8"/>
      <c r="U1085" s="7"/>
      <c r="V1085" s="7"/>
      <c r="W1085" s="6"/>
      <c r="X1085" s="2"/>
      <c r="Y1085" s="2"/>
      <c r="Z1085" s="2"/>
      <c r="AA1085" s="2"/>
    </row>
    <row r="1086" spans="1:27" s="1" customFormat="1">
      <c r="A1086"/>
      <c r="B1086"/>
      <c r="C1086"/>
      <c r="D1086"/>
      <c r="E1086"/>
      <c r="F1086"/>
      <c r="G1086"/>
      <c r="H1086"/>
      <c r="I1086"/>
      <c r="J1086" s="3"/>
      <c r="K1086" s="2"/>
      <c r="L1086" s="2"/>
      <c r="M1086" s="2"/>
      <c r="N1086" s="2"/>
      <c r="O1086" s="6"/>
      <c r="P1086" s="8"/>
      <c r="Q1086" s="6"/>
      <c r="R1086" s="8"/>
      <c r="S1086" s="6"/>
      <c r="T1086" s="8"/>
      <c r="U1086" s="7"/>
      <c r="V1086" s="7"/>
      <c r="W1086" s="6"/>
      <c r="X1086" s="2"/>
      <c r="Y1086" s="2"/>
      <c r="Z1086" s="2"/>
      <c r="AA1086" s="2"/>
    </row>
    <row r="1087" spans="1:27" s="1" customFormat="1">
      <c r="A1087"/>
      <c r="B1087"/>
      <c r="C1087"/>
      <c r="D1087"/>
      <c r="E1087"/>
      <c r="F1087"/>
      <c r="G1087"/>
      <c r="H1087"/>
      <c r="I1087"/>
      <c r="J1087" s="3"/>
      <c r="K1087" s="2"/>
      <c r="L1087" s="2"/>
      <c r="M1087" s="2"/>
      <c r="N1087" s="2"/>
      <c r="O1087" s="5"/>
      <c r="P1087" s="4"/>
      <c r="Q1087" s="2"/>
      <c r="R1087" s="2"/>
      <c r="S1087" s="2"/>
      <c r="T1087" s="2"/>
      <c r="U1087" s="2"/>
      <c r="V1087" s="2"/>
      <c r="W1087" s="2"/>
      <c r="X1087" s="2"/>
      <c r="Y1087" s="2"/>
      <c r="Z1087" s="2"/>
      <c r="AA1087" s="2"/>
    </row>
    <row r="1088" spans="1:27" s="1" customFormat="1">
      <c r="A1088"/>
      <c r="B1088"/>
      <c r="C1088"/>
      <c r="D1088"/>
      <c r="E1088"/>
      <c r="F1088"/>
      <c r="G1088"/>
      <c r="H1088"/>
      <c r="I1088"/>
      <c r="J1088" s="3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  <c r="AA1088" s="2"/>
    </row>
    <row r="1089" spans="1:27" s="1" customFormat="1">
      <c r="A1089"/>
      <c r="B1089"/>
      <c r="C1089"/>
      <c r="D1089"/>
      <c r="E1089"/>
      <c r="F1089"/>
      <c r="G1089"/>
      <c r="H1089"/>
      <c r="I1089"/>
      <c r="J1089" s="3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  <c r="AA1089" s="2"/>
    </row>
    <row r="1090" spans="1:27" s="1" customFormat="1">
      <c r="A1090"/>
      <c r="B1090"/>
      <c r="C1090"/>
      <c r="D1090"/>
      <c r="E1090"/>
      <c r="F1090"/>
      <c r="G1090"/>
      <c r="H1090"/>
      <c r="I1090"/>
      <c r="J1090" s="3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  <c r="AA1090" s="2"/>
    </row>
    <row r="1091" spans="1:27" s="1" customFormat="1">
      <c r="A1091"/>
      <c r="B1091"/>
      <c r="C1091"/>
      <c r="D1091"/>
      <c r="E1091"/>
      <c r="F1091"/>
      <c r="G1091"/>
      <c r="H1091"/>
      <c r="I1091"/>
      <c r="J1091" s="3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  <c r="AA1091" s="2"/>
    </row>
    <row r="1092" spans="1:27" s="1" customFormat="1">
      <c r="A1092"/>
      <c r="B1092"/>
      <c r="C1092"/>
      <c r="D1092"/>
      <c r="E1092"/>
      <c r="F1092"/>
      <c r="G1092"/>
      <c r="H1092"/>
      <c r="I1092"/>
      <c r="J1092" s="3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  <c r="AA1092" s="2"/>
    </row>
    <row r="1093" spans="1:27" s="1" customFormat="1">
      <c r="A1093"/>
      <c r="B1093"/>
      <c r="C1093"/>
      <c r="D1093"/>
      <c r="E1093"/>
      <c r="F1093"/>
      <c r="G1093"/>
      <c r="H1093"/>
      <c r="I1093"/>
      <c r="J1093" s="3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  <c r="AA1093" s="2"/>
    </row>
    <row r="1094" spans="1:27" s="1" customFormat="1">
      <c r="A1094"/>
      <c r="B1094"/>
      <c r="C1094"/>
      <c r="D1094"/>
      <c r="E1094"/>
      <c r="F1094"/>
      <c r="G1094"/>
      <c r="H1094"/>
      <c r="I1094"/>
      <c r="J1094" s="3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  <c r="AA1094" s="2"/>
    </row>
    <row r="1095" spans="1:27" s="1" customFormat="1">
      <c r="A1095"/>
      <c r="B1095"/>
      <c r="C1095"/>
      <c r="D1095"/>
      <c r="E1095"/>
      <c r="F1095"/>
      <c r="G1095"/>
      <c r="H1095"/>
      <c r="I1095"/>
      <c r="J1095" s="3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  <c r="AA1095" s="2"/>
    </row>
    <row r="1096" spans="1:27" s="1" customFormat="1">
      <c r="A1096"/>
      <c r="B1096"/>
      <c r="C1096"/>
      <c r="D1096"/>
      <c r="E1096"/>
      <c r="F1096"/>
      <c r="G1096"/>
      <c r="H1096"/>
      <c r="I1096"/>
      <c r="J1096" s="3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  <c r="AA1096" s="2"/>
    </row>
    <row r="1097" spans="1:27" s="1" customFormat="1">
      <c r="A1097"/>
      <c r="B1097"/>
      <c r="C1097"/>
      <c r="D1097"/>
      <c r="E1097"/>
      <c r="F1097"/>
      <c r="G1097"/>
      <c r="H1097"/>
      <c r="I1097"/>
      <c r="J1097" s="3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  <c r="AA1097" s="2"/>
    </row>
    <row r="1098" spans="1:27" s="1" customFormat="1">
      <c r="A1098"/>
      <c r="B1098"/>
      <c r="C1098"/>
      <c r="D1098"/>
      <c r="E1098"/>
      <c r="F1098"/>
      <c r="G1098"/>
      <c r="H1098"/>
      <c r="I1098"/>
      <c r="J1098" s="3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  <c r="AA1098" s="2"/>
    </row>
    <row r="1099" spans="1:27" s="1" customFormat="1">
      <c r="A1099"/>
      <c r="B1099"/>
      <c r="C1099"/>
      <c r="D1099"/>
      <c r="E1099"/>
      <c r="F1099"/>
      <c r="G1099"/>
      <c r="H1099"/>
      <c r="I1099"/>
      <c r="J1099" s="3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  <c r="AA1099" s="2"/>
    </row>
    <row r="1100" spans="1:27" s="1" customFormat="1">
      <c r="A1100"/>
      <c r="B1100"/>
      <c r="C1100"/>
      <c r="D1100"/>
      <c r="E1100"/>
      <c r="F1100"/>
      <c r="G1100"/>
      <c r="H1100"/>
      <c r="I1100"/>
      <c r="J1100" s="3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  <c r="AA1100" s="2"/>
    </row>
    <row r="1101" spans="1:27" s="1" customFormat="1">
      <c r="A1101"/>
      <c r="B1101"/>
      <c r="C1101"/>
      <c r="D1101"/>
      <c r="E1101"/>
      <c r="F1101"/>
      <c r="G1101"/>
      <c r="H1101"/>
      <c r="I1101"/>
      <c r="J1101" s="3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  <c r="AA1101" s="2"/>
    </row>
    <row r="1102" spans="1:27" s="1" customFormat="1">
      <c r="A1102"/>
      <c r="B1102"/>
      <c r="C1102"/>
      <c r="D1102"/>
      <c r="E1102"/>
      <c r="F1102"/>
      <c r="G1102"/>
      <c r="H1102"/>
      <c r="I1102"/>
      <c r="J1102" s="3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  <c r="AA1102" s="2"/>
    </row>
    <row r="1103" spans="1:27" s="1" customFormat="1">
      <c r="A1103"/>
      <c r="B1103"/>
      <c r="C1103"/>
      <c r="D1103"/>
      <c r="E1103"/>
      <c r="F1103"/>
      <c r="G1103"/>
      <c r="H1103"/>
      <c r="I1103"/>
      <c r="J1103" s="3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  <c r="AA1103" s="2"/>
    </row>
    <row r="1104" spans="1:27" s="1" customFormat="1">
      <c r="A1104"/>
      <c r="B1104"/>
      <c r="C1104"/>
      <c r="D1104"/>
      <c r="E1104"/>
      <c r="F1104"/>
      <c r="G1104"/>
      <c r="H1104"/>
      <c r="I1104"/>
      <c r="J1104" s="3"/>
      <c r="K1104" s="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2"/>
      <c r="W1104" s="12"/>
      <c r="X1104" s="2"/>
      <c r="Y1104" s="2"/>
      <c r="Z1104" s="2"/>
      <c r="AA1104" s="2"/>
    </row>
    <row r="1105" spans="1:27" s="1" customFormat="1">
      <c r="A1105"/>
      <c r="B1105"/>
      <c r="C1105"/>
      <c r="D1105"/>
      <c r="E1105"/>
      <c r="F1105"/>
      <c r="G1105"/>
      <c r="H1105"/>
      <c r="I1105"/>
      <c r="K1105" s="2"/>
      <c r="L1105" s="14"/>
      <c r="M1105" s="14"/>
      <c r="N1105" s="14"/>
      <c r="O1105" s="12"/>
      <c r="P1105" s="12"/>
      <c r="Q1105" s="12"/>
      <c r="R1105" s="14"/>
      <c r="S1105" s="14"/>
      <c r="T1105" s="12"/>
      <c r="U1105" s="2"/>
      <c r="V1105" s="12"/>
      <c r="W1105" s="2"/>
      <c r="X1105" s="2"/>
      <c r="Y1105" s="2"/>
      <c r="Z1105" s="2"/>
      <c r="AA1105" s="2"/>
    </row>
    <row r="1106" spans="1:27" s="1" customFormat="1">
      <c r="A1106"/>
      <c r="B1106"/>
      <c r="C1106"/>
      <c r="D1106"/>
      <c r="E1106"/>
      <c r="F1106"/>
      <c r="G1106"/>
      <c r="H1106"/>
      <c r="I1106"/>
      <c r="K1106" s="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3"/>
      <c r="V1106" s="13"/>
      <c r="W1106" s="12"/>
      <c r="X1106" s="2"/>
      <c r="Y1106" s="2"/>
      <c r="Z1106" s="2"/>
      <c r="AA1106" s="2"/>
    </row>
    <row r="1107" spans="1:27" s="1" customFormat="1">
      <c r="A1107"/>
      <c r="B1107"/>
      <c r="C1107"/>
      <c r="D1107"/>
      <c r="E1107"/>
      <c r="F1107"/>
      <c r="G1107"/>
      <c r="H1107"/>
      <c r="I1107"/>
      <c r="K1107" s="2"/>
      <c r="L1107" s="10"/>
      <c r="M1107" s="10"/>
      <c r="N1107" s="9"/>
      <c r="O1107" s="6"/>
      <c r="P1107" s="8"/>
      <c r="Q1107" s="6"/>
      <c r="R1107" s="8"/>
      <c r="S1107" s="6"/>
      <c r="T1107" s="8"/>
      <c r="U1107" s="7"/>
      <c r="V1107" s="7"/>
      <c r="W1107" s="6"/>
      <c r="X1107" s="2"/>
      <c r="Y1107" s="2"/>
      <c r="Z1107" s="2"/>
      <c r="AA1107" s="2"/>
    </row>
    <row r="1108" spans="1:27" s="1" customFormat="1">
      <c r="A1108"/>
      <c r="B1108"/>
      <c r="C1108"/>
      <c r="D1108"/>
      <c r="E1108"/>
      <c r="F1108"/>
      <c r="G1108"/>
      <c r="H1108"/>
      <c r="I1108"/>
      <c r="K1108" s="11"/>
      <c r="L1108" s="10"/>
      <c r="M1108" s="10"/>
      <c r="N1108" s="9"/>
      <c r="O1108" s="6"/>
      <c r="P1108" s="8"/>
      <c r="Q1108" s="6"/>
      <c r="R1108" s="8"/>
      <c r="S1108" s="6"/>
      <c r="T1108" s="8"/>
      <c r="U1108" s="7"/>
      <c r="V1108" s="7"/>
      <c r="W1108" s="6"/>
      <c r="X1108" s="2"/>
      <c r="Y1108" s="2"/>
      <c r="Z1108" s="2"/>
      <c r="AA1108" s="2"/>
    </row>
    <row r="1109" spans="1:27" s="1" customFormat="1">
      <c r="A1109"/>
      <c r="B1109"/>
      <c r="C1109"/>
      <c r="D1109"/>
      <c r="E1109"/>
      <c r="F1109"/>
      <c r="G1109"/>
      <c r="H1109"/>
      <c r="I1109"/>
      <c r="K1109" s="2"/>
      <c r="L1109" s="10"/>
      <c r="M1109" s="10"/>
      <c r="N1109" s="9"/>
      <c r="O1109" s="6"/>
      <c r="P1109" s="8"/>
      <c r="Q1109" s="6"/>
      <c r="R1109" s="8"/>
      <c r="S1109" s="6"/>
      <c r="T1109" s="8"/>
      <c r="U1109" s="7"/>
      <c r="V1109" s="7"/>
      <c r="W1109" s="6"/>
      <c r="X1109" s="2"/>
      <c r="Y1109" s="2"/>
      <c r="Z1109" s="2"/>
      <c r="AA1109" s="2"/>
    </row>
    <row r="1110" spans="1:27" s="1" customFormat="1">
      <c r="A1110"/>
      <c r="B1110"/>
      <c r="C1110"/>
      <c r="D1110"/>
      <c r="E1110"/>
      <c r="F1110"/>
      <c r="G1110"/>
      <c r="H1110"/>
      <c r="I1110"/>
      <c r="K1110" s="2"/>
      <c r="L1110" s="10"/>
      <c r="M1110" s="10"/>
      <c r="N1110" s="9"/>
      <c r="O1110" s="6"/>
      <c r="P1110" s="8"/>
      <c r="Q1110" s="6"/>
      <c r="R1110" s="8"/>
      <c r="S1110" s="6"/>
      <c r="T1110" s="8"/>
      <c r="U1110" s="7"/>
      <c r="V1110" s="7"/>
      <c r="W1110" s="6"/>
      <c r="X1110" s="2"/>
      <c r="Y1110" s="2"/>
      <c r="Z1110" s="2"/>
      <c r="AA1110" s="2"/>
    </row>
    <row r="1111" spans="1:27" s="1" customFormat="1">
      <c r="A1111"/>
      <c r="B1111"/>
      <c r="C1111"/>
      <c r="D1111"/>
      <c r="E1111"/>
      <c r="F1111"/>
      <c r="G1111"/>
      <c r="H1111"/>
      <c r="I1111"/>
      <c r="K1111" s="2"/>
      <c r="L1111" s="2"/>
      <c r="M1111" s="2"/>
      <c r="N1111" s="2"/>
      <c r="O1111" s="6"/>
      <c r="P1111" s="8"/>
      <c r="Q1111" s="6"/>
      <c r="R1111" s="8"/>
      <c r="S1111" s="6"/>
      <c r="T1111" s="8"/>
      <c r="U1111" s="7"/>
      <c r="V1111" s="7"/>
      <c r="W1111" s="6"/>
      <c r="X1111" s="2"/>
      <c r="Y1111" s="2"/>
      <c r="Z1111" s="2"/>
      <c r="AA1111" s="2"/>
    </row>
    <row r="1112" spans="1:27" s="1" customFormat="1">
      <c r="A1112"/>
      <c r="B1112"/>
      <c r="C1112"/>
      <c r="D1112"/>
      <c r="E1112"/>
      <c r="F1112"/>
      <c r="G1112"/>
      <c r="H1112"/>
      <c r="I1112"/>
      <c r="K1112" s="2"/>
      <c r="L1112" s="2"/>
      <c r="M1112" s="2"/>
      <c r="N1112" s="2"/>
      <c r="O1112" s="5"/>
      <c r="P1112" s="4"/>
      <c r="Q1112" s="2"/>
      <c r="R1112" s="2"/>
      <c r="S1112" s="2"/>
      <c r="T1112" s="2"/>
      <c r="U1112" s="2"/>
      <c r="V1112" s="2"/>
      <c r="W1112" s="2"/>
      <c r="X1112" s="2"/>
      <c r="Y1112" s="2"/>
      <c r="Z1112" s="2"/>
      <c r="AA1112" s="2"/>
    </row>
    <row r="1113" spans="1:27" s="1" customFormat="1">
      <c r="A1113"/>
      <c r="B1113"/>
      <c r="C1113"/>
      <c r="D1113"/>
      <c r="E1113"/>
      <c r="F1113"/>
      <c r="G1113"/>
      <c r="H1113"/>
      <c r="I1113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  <c r="AA1113" s="2"/>
    </row>
    <row r="1114" spans="1:27" s="1" customFormat="1">
      <c r="A1114"/>
      <c r="B1114"/>
      <c r="C1114"/>
      <c r="D1114"/>
      <c r="E1114"/>
      <c r="F1114"/>
      <c r="G1114"/>
      <c r="H1114"/>
      <c r="I1114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  <c r="AA1114" s="2"/>
    </row>
    <row r="1115" spans="1:27" s="1" customFormat="1">
      <c r="A1115"/>
      <c r="B1115"/>
      <c r="C1115"/>
      <c r="D1115"/>
      <c r="E1115"/>
      <c r="F1115"/>
      <c r="G1115"/>
      <c r="H1115"/>
      <c r="I1115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  <c r="AA1115" s="2"/>
    </row>
    <row r="1116" spans="1:27" s="1" customFormat="1">
      <c r="A1116"/>
      <c r="B1116"/>
      <c r="C1116"/>
      <c r="D1116"/>
      <c r="E1116"/>
      <c r="F1116"/>
      <c r="G1116"/>
      <c r="H1116"/>
      <c r="I1116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  <c r="AA1116" s="2"/>
    </row>
    <row r="1117" spans="1:27" s="1" customFormat="1">
      <c r="A1117"/>
      <c r="B1117"/>
      <c r="C1117"/>
      <c r="D1117"/>
      <c r="E1117"/>
      <c r="F1117"/>
      <c r="G1117"/>
      <c r="H1117"/>
      <c r="I1117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  <c r="AA1117" s="2"/>
    </row>
    <row r="1118" spans="1:27" s="1" customFormat="1">
      <c r="A1118"/>
      <c r="B1118"/>
      <c r="C1118"/>
      <c r="D1118"/>
      <c r="E1118"/>
      <c r="F1118"/>
      <c r="G1118"/>
      <c r="H1118"/>
      <c r="I1118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  <c r="AA1118" s="2"/>
    </row>
    <row r="1119" spans="1:27" s="1" customFormat="1">
      <c r="A1119"/>
      <c r="B1119"/>
      <c r="C1119"/>
      <c r="D1119"/>
      <c r="E1119"/>
      <c r="F1119"/>
      <c r="G1119"/>
      <c r="H1119"/>
      <c r="I1119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  <c r="AA1119" s="2"/>
    </row>
    <row r="1120" spans="1:27" s="1" customFormat="1">
      <c r="A1120"/>
      <c r="B1120"/>
      <c r="C1120"/>
      <c r="D1120"/>
      <c r="E1120"/>
      <c r="F1120"/>
      <c r="G1120"/>
      <c r="H1120"/>
      <c r="I1120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  <c r="AA1120" s="2"/>
    </row>
    <row r="1121" spans="1:27" s="1" customFormat="1">
      <c r="A1121"/>
      <c r="B1121"/>
      <c r="C1121"/>
      <c r="D1121"/>
      <c r="E1121"/>
      <c r="F1121"/>
      <c r="G1121"/>
      <c r="H1121"/>
      <c r="I1121"/>
      <c r="J1121" s="3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  <c r="AA1121" s="2"/>
    </row>
    <row r="1122" spans="1:27" s="1" customFormat="1">
      <c r="A1122"/>
      <c r="B1122"/>
      <c r="C1122"/>
      <c r="D1122"/>
      <c r="E1122"/>
      <c r="F1122"/>
      <c r="G1122"/>
      <c r="H1122"/>
      <c r="I1122"/>
      <c r="J1122" s="3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  <c r="AA1122" s="2"/>
    </row>
    <row r="1123" spans="1:27" s="1" customFormat="1">
      <c r="A1123"/>
      <c r="B1123"/>
      <c r="C1123"/>
      <c r="D1123"/>
      <c r="E1123"/>
      <c r="F1123"/>
      <c r="G1123"/>
      <c r="H1123"/>
      <c r="I1123"/>
      <c r="J1123" s="3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  <c r="AA1123" s="2"/>
    </row>
    <row r="1124" spans="1:27" s="1" customFormat="1">
      <c r="A1124"/>
      <c r="B1124"/>
      <c r="C1124"/>
      <c r="D1124"/>
      <c r="E1124"/>
      <c r="F1124"/>
      <c r="G1124"/>
      <c r="H1124"/>
      <c r="I1124"/>
      <c r="J1124" s="3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  <c r="AA1124" s="2"/>
    </row>
    <row r="1125" spans="1:27" s="1" customFormat="1">
      <c r="A1125"/>
      <c r="B1125"/>
      <c r="C1125"/>
      <c r="D1125"/>
      <c r="E1125"/>
      <c r="F1125"/>
      <c r="G1125"/>
      <c r="H1125"/>
      <c r="I1125"/>
      <c r="J1125" s="3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  <c r="AA1125" s="2"/>
    </row>
    <row r="1126" spans="1:27" s="1" customFormat="1">
      <c r="A1126"/>
      <c r="B1126"/>
      <c r="C1126"/>
      <c r="D1126"/>
      <c r="E1126"/>
      <c r="F1126"/>
      <c r="G1126"/>
      <c r="H1126"/>
      <c r="I1126"/>
      <c r="J1126" s="3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  <c r="AA1126" s="2"/>
    </row>
    <row r="1127" spans="1:27" s="1" customFormat="1">
      <c r="A1127"/>
      <c r="B1127"/>
      <c r="C1127"/>
      <c r="D1127"/>
      <c r="E1127"/>
      <c r="F1127"/>
      <c r="G1127"/>
      <c r="H1127"/>
      <c r="I1127"/>
      <c r="J1127" s="3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  <c r="AA1127" s="2"/>
    </row>
    <row r="1128" spans="1:27" s="1" customFormat="1">
      <c r="A1128"/>
      <c r="B1128"/>
      <c r="C1128"/>
      <c r="D1128"/>
      <c r="E1128"/>
      <c r="F1128"/>
      <c r="G1128"/>
      <c r="H1128"/>
      <c r="I1128"/>
      <c r="J1128" s="3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  <c r="AA1128" s="2"/>
    </row>
    <row r="1129" spans="1:27" s="1" customFormat="1">
      <c r="A1129"/>
      <c r="B1129"/>
      <c r="C1129"/>
      <c r="D1129"/>
      <c r="E1129"/>
      <c r="F1129"/>
      <c r="G1129"/>
      <c r="H1129"/>
      <c r="I1129"/>
      <c r="J1129" s="3"/>
      <c r="K1129" s="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2"/>
      <c r="W1129" s="12"/>
      <c r="X1129" s="2"/>
      <c r="Y1129" s="2"/>
      <c r="Z1129" s="2"/>
      <c r="AA1129" s="2"/>
    </row>
    <row r="1130" spans="1:27" s="1" customFormat="1">
      <c r="A1130"/>
      <c r="B1130"/>
      <c r="C1130"/>
      <c r="D1130"/>
      <c r="E1130"/>
      <c r="F1130"/>
      <c r="G1130"/>
      <c r="H1130"/>
      <c r="I1130"/>
      <c r="J1130" s="3"/>
      <c r="K1130" s="2"/>
      <c r="L1130" s="14"/>
      <c r="M1130" s="14"/>
      <c r="N1130" s="14"/>
      <c r="O1130" s="12"/>
      <c r="P1130" s="12"/>
      <c r="Q1130" s="12"/>
      <c r="R1130" s="14"/>
      <c r="S1130" s="14"/>
      <c r="T1130" s="12"/>
      <c r="U1130" s="2"/>
      <c r="V1130" s="12"/>
      <c r="W1130" s="2"/>
      <c r="X1130" s="2"/>
      <c r="Y1130" s="2"/>
      <c r="Z1130" s="2"/>
      <c r="AA1130" s="2"/>
    </row>
    <row r="1131" spans="1:27" s="1" customFormat="1">
      <c r="A1131"/>
      <c r="B1131"/>
      <c r="C1131"/>
      <c r="D1131"/>
      <c r="E1131"/>
      <c r="F1131"/>
      <c r="G1131"/>
      <c r="H1131"/>
      <c r="I1131"/>
      <c r="J1131" s="3"/>
      <c r="K1131" s="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3"/>
      <c r="V1131" s="13"/>
      <c r="W1131" s="12"/>
      <c r="X1131" s="2"/>
      <c r="Y1131" s="2"/>
      <c r="Z1131" s="2"/>
      <c r="AA1131" s="2"/>
    </row>
    <row r="1132" spans="1:27" s="1" customFormat="1">
      <c r="A1132"/>
      <c r="B1132"/>
      <c r="C1132"/>
      <c r="D1132"/>
      <c r="E1132"/>
      <c r="F1132"/>
      <c r="G1132"/>
      <c r="H1132"/>
      <c r="I1132"/>
      <c r="J1132" s="3"/>
      <c r="K1132" s="2"/>
      <c r="L1132" s="10"/>
      <c r="M1132" s="10"/>
      <c r="N1132" s="9"/>
      <c r="O1132" s="6"/>
      <c r="P1132" s="8"/>
      <c r="Q1132" s="6"/>
      <c r="R1132" s="8"/>
      <c r="S1132" s="6"/>
      <c r="T1132" s="8"/>
      <c r="U1132" s="7"/>
      <c r="V1132" s="7"/>
      <c r="W1132" s="6"/>
      <c r="X1132" s="2"/>
      <c r="Y1132" s="2"/>
      <c r="Z1132" s="2"/>
      <c r="AA1132" s="2"/>
    </row>
    <row r="1133" spans="1:27" s="1" customFormat="1">
      <c r="A1133"/>
      <c r="B1133"/>
      <c r="C1133"/>
      <c r="D1133"/>
      <c r="E1133"/>
      <c r="F1133"/>
      <c r="G1133"/>
      <c r="H1133"/>
      <c r="I1133"/>
      <c r="J1133" s="3"/>
      <c r="K1133" s="11"/>
      <c r="L1133" s="10"/>
      <c r="M1133" s="10"/>
      <c r="N1133" s="9"/>
      <c r="O1133" s="6"/>
      <c r="P1133" s="8"/>
      <c r="Q1133" s="6"/>
      <c r="R1133" s="8"/>
      <c r="S1133" s="6"/>
      <c r="T1133" s="8"/>
      <c r="U1133" s="7"/>
      <c r="V1133" s="7"/>
      <c r="W1133" s="6"/>
      <c r="X1133" s="2"/>
      <c r="Y1133" s="2"/>
      <c r="Z1133" s="2"/>
      <c r="AA1133" s="2"/>
    </row>
    <row r="1134" spans="1:27" s="1" customFormat="1">
      <c r="A1134"/>
      <c r="B1134"/>
      <c r="C1134"/>
      <c r="D1134"/>
      <c r="E1134"/>
      <c r="F1134"/>
      <c r="G1134"/>
      <c r="H1134"/>
      <c r="I1134"/>
      <c r="J1134" s="3"/>
      <c r="K1134" s="2"/>
      <c r="L1134" s="10"/>
      <c r="M1134" s="10"/>
      <c r="N1134" s="9"/>
      <c r="O1134" s="6"/>
      <c r="P1134" s="8"/>
      <c r="Q1134" s="6"/>
      <c r="R1134" s="8"/>
      <c r="S1134" s="6"/>
      <c r="T1134" s="8"/>
      <c r="U1134" s="7"/>
      <c r="V1134" s="7"/>
      <c r="W1134" s="6"/>
      <c r="X1134" s="2"/>
      <c r="Y1134" s="2"/>
      <c r="Z1134" s="2"/>
      <c r="AA1134" s="2"/>
    </row>
    <row r="1135" spans="1:27" s="1" customFormat="1">
      <c r="A1135"/>
      <c r="B1135"/>
      <c r="C1135"/>
      <c r="D1135"/>
      <c r="E1135"/>
      <c r="F1135"/>
      <c r="G1135"/>
      <c r="H1135"/>
      <c r="I1135"/>
      <c r="J1135" s="3"/>
      <c r="K1135" s="2"/>
      <c r="L1135" s="10"/>
      <c r="M1135" s="10"/>
      <c r="N1135" s="9"/>
      <c r="O1135" s="6"/>
      <c r="P1135" s="8"/>
      <c r="Q1135" s="6"/>
      <c r="R1135" s="8"/>
      <c r="S1135" s="6"/>
      <c r="T1135" s="8"/>
      <c r="U1135" s="7"/>
      <c r="V1135" s="7"/>
      <c r="W1135" s="6"/>
      <c r="X1135" s="2"/>
      <c r="Y1135" s="2"/>
      <c r="Z1135" s="2"/>
      <c r="AA1135" s="2"/>
    </row>
    <row r="1136" spans="1:27" s="1" customFormat="1">
      <c r="A1136"/>
      <c r="B1136"/>
      <c r="C1136"/>
      <c r="D1136"/>
      <c r="E1136"/>
      <c r="F1136"/>
      <c r="G1136"/>
      <c r="H1136"/>
      <c r="I1136"/>
      <c r="J1136" s="3"/>
      <c r="K1136" s="2"/>
      <c r="L1136" s="2"/>
      <c r="M1136" s="2"/>
      <c r="N1136" s="2"/>
      <c r="O1136" s="6"/>
      <c r="P1136" s="8"/>
      <c r="Q1136" s="6"/>
      <c r="R1136" s="8"/>
      <c r="S1136" s="6"/>
      <c r="T1136" s="8"/>
      <c r="U1136" s="7"/>
      <c r="V1136" s="7"/>
      <c r="W1136" s="6"/>
      <c r="X1136" s="2"/>
      <c r="Y1136" s="2"/>
      <c r="Z1136" s="2"/>
      <c r="AA1136" s="2"/>
    </row>
    <row r="1137" spans="1:27" s="1" customFormat="1">
      <c r="A1137"/>
      <c r="B1137"/>
      <c r="C1137"/>
      <c r="D1137"/>
      <c r="E1137"/>
      <c r="F1137"/>
      <c r="G1137"/>
      <c r="H1137"/>
      <c r="I1137"/>
      <c r="J1137" s="3"/>
      <c r="K1137" s="2"/>
      <c r="L1137" s="2"/>
      <c r="M1137" s="2"/>
      <c r="N1137" s="2"/>
      <c r="O1137" s="5"/>
      <c r="P1137" s="4"/>
      <c r="Q1137" s="2"/>
      <c r="R1137" s="2"/>
      <c r="S1137" s="2"/>
      <c r="T1137" s="2"/>
      <c r="U1137" s="2"/>
      <c r="V1137" s="2"/>
      <c r="W1137" s="2"/>
      <c r="X1137" s="2"/>
      <c r="Y1137" s="2"/>
      <c r="Z1137" s="2"/>
      <c r="AA1137" s="2"/>
    </row>
    <row r="1138" spans="1:27" s="1" customFormat="1">
      <c r="A1138"/>
      <c r="B1138"/>
      <c r="C1138"/>
      <c r="D1138"/>
      <c r="E1138"/>
      <c r="F1138"/>
      <c r="G1138"/>
      <c r="H1138"/>
      <c r="I1138"/>
      <c r="J1138" s="3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  <c r="AA1138" s="2"/>
    </row>
    <row r="1139" spans="1:27" s="1" customFormat="1">
      <c r="A1139"/>
      <c r="B1139"/>
      <c r="C1139"/>
      <c r="D1139"/>
      <c r="E1139"/>
      <c r="F1139"/>
      <c r="G1139"/>
      <c r="H1139"/>
      <c r="I1139"/>
      <c r="J1139" s="3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  <c r="AA1139" s="2"/>
    </row>
    <row r="1140" spans="1:27" s="1" customFormat="1">
      <c r="A1140"/>
      <c r="B1140"/>
      <c r="C1140"/>
      <c r="D1140"/>
      <c r="E1140"/>
      <c r="F1140"/>
      <c r="G1140"/>
      <c r="H1140"/>
      <c r="I1140"/>
      <c r="J1140" s="3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  <c r="AA1140" s="2"/>
    </row>
    <row r="1141" spans="1:27" s="1" customFormat="1">
      <c r="A1141"/>
      <c r="B1141"/>
      <c r="C1141"/>
      <c r="D1141"/>
      <c r="E1141"/>
      <c r="F1141"/>
      <c r="G1141"/>
      <c r="H1141"/>
      <c r="I1141"/>
      <c r="J1141" s="3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  <c r="AA1141" s="2"/>
    </row>
    <row r="1142" spans="1:27" s="1" customFormat="1">
      <c r="A1142"/>
      <c r="B1142"/>
      <c r="C1142"/>
      <c r="D1142"/>
      <c r="E1142"/>
      <c r="F1142"/>
      <c r="G1142"/>
      <c r="H1142"/>
      <c r="I1142"/>
      <c r="J1142" s="3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  <c r="AA1142" s="2"/>
    </row>
    <row r="1143" spans="1:27" s="1" customFormat="1">
      <c r="A1143"/>
      <c r="B1143"/>
      <c r="C1143"/>
      <c r="D1143"/>
      <c r="E1143"/>
      <c r="F1143"/>
      <c r="G1143"/>
      <c r="H1143"/>
      <c r="I1143"/>
      <c r="J1143" s="3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  <c r="AA1143" s="2"/>
    </row>
    <row r="1144" spans="1:27" s="1" customFormat="1">
      <c r="A1144"/>
      <c r="B1144"/>
      <c r="C1144"/>
      <c r="D1144"/>
      <c r="E1144"/>
      <c r="F1144"/>
      <c r="G1144"/>
      <c r="H1144"/>
      <c r="I1144"/>
      <c r="J1144" s="3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  <c r="AA1144" s="2"/>
    </row>
    <row r="1145" spans="1:27" s="1" customFormat="1">
      <c r="A1145"/>
      <c r="B1145"/>
      <c r="C1145"/>
      <c r="D1145"/>
      <c r="E1145"/>
      <c r="F1145"/>
      <c r="G1145"/>
      <c r="H1145"/>
      <c r="I1145"/>
      <c r="J1145" s="3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  <c r="AA1145" s="2"/>
    </row>
    <row r="1146" spans="1:27" s="1" customFormat="1">
      <c r="A1146"/>
      <c r="B1146"/>
      <c r="C1146"/>
      <c r="D1146"/>
      <c r="E1146"/>
      <c r="F1146"/>
      <c r="G1146"/>
      <c r="H1146"/>
      <c r="I1146"/>
      <c r="J1146" s="3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  <c r="AA1146" s="2"/>
    </row>
    <row r="1147" spans="1:27" s="1" customFormat="1">
      <c r="A1147"/>
      <c r="B1147"/>
      <c r="C1147"/>
      <c r="D1147"/>
      <c r="E1147"/>
      <c r="F1147"/>
      <c r="G1147"/>
      <c r="H1147"/>
      <c r="I1147"/>
      <c r="J1147" s="3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  <c r="AA1147" s="2"/>
    </row>
    <row r="1148" spans="1:27" s="1" customFormat="1">
      <c r="A1148"/>
      <c r="B1148"/>
      <c r="C1148"/>
      <c r="D1148"/>
      <c r="E1148"/>
      <c r="F1148"/>
      <c r="G1148"/>
      <c r="H1148"/>
      <c r="I1148"/>
      <c r="J1148" s="3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  <c r="AA1148" s="2"/>
    </row>
    <row r="1149" spans="1:27" s="1" customFormat="1">
      <c r="A1149"/>
      <c r="B1149"/>
      <c r="C1149"/>
      <c r="D1149"/>
      <c r="E1149"/>
      <c r="F1149"/>
      <c r="G1149"/>
      <c r="H1149"/>
      <c r="I1149"/>
      <c r="J1149" s="3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  <c r="AA1149" s="2"/>
    </row>
    <row r="1150" spans="1:27" s="1" customFormat="1">
      <c r="A1150"/>
      <c r="B1150"/>
      <c r="C1150"/>
      <c r="D1150"/>
      <c r="E1150"/>
      <c r="F1150"/>
      <c r="G1150"/>
      <c r="H1150"/>
      <c r="I1150"/>
      <c r="J1150" s="3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  <c r="AA1150" s="2"/>
    </row>
    <row r="1151" spans="1:27" s="1" customFormat="1">
      <c r="A1151"/>
      <c r="B1151"/>
      <c r="C1151"/>
      <c r="D1151"/>
      <c r="E1151"/>
      <c r="F1151"/>
      <c r="G1151"/>
      <c r="H1151"/>
      <c r="I1151"/>
      <c r="J1151" s="3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  <c r="AA1151" s="2"/>
    </row>
    <row r="1152" spans="1:27" s="1" customFormat="1">
      <c r="A1152"/>
      <c r="B1152"/>
      <c r="C1152"/>
      <c r="D1152"/>
      <c r="E1152"/>
      <c r="F1152"/>
      <c r="G1152"/>
      <c r="H1152"/>
      <c r="I1152"/>
      <c r="J1152" s="3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  <c r="AA1152" s="2"/>
    </row>
    <row r="1153" spans="1:27" s="1" customFormat="1">
      <c r="A1153"/>
      <c r="B1153"/>
      <c r="C1153"/>
      <c r="D1153"/>
      <c r="E1153"/>
      <c r="F1153"/>
      <c r="G1153"/>
      <c r="H1153"/>
      <c r="I1153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  <c r="AA1153" s="2"/>
    </row>
    <row r="1154" spans="1:27" s="1" customFormat="1">
      <c r="A1154"/>
      <c r="B1154"/>
      <c r="C1154"/>
      <c r="D1154"/>
      <c r="E1154"/>
      <c r="F1154"/>
      <c r="G1154"/>
      <c r="H1154"/>
      <c r="I1154"/>
      <c r="K1154" s="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2"/>
      <c r="W1154" s="12"/>
      <c r="X1154" s="2"/>
      <c r="Y1154" s="2"/>
      <c r="Z1154" s="2"/>
      <c r="AA1154" s="2"/>
    </row>
    <row r="1155" spans="1:27" s="1" customFormat="1">
      <c r="A1155"/>
      <c r="B1155"/>
      <c r="C1155"/>
      <c r="D1155"/>
      <c r="E1155"/>
      <c r="F1155"/>
      <c r="G1155"/>
      <c r="H1155"/>
      <c r="I1155"/>
      <c r="K1155" s="2"/>
      <c r="L1155" s="14"/>
      <c r="M1155" s="14"/>
      <c r="N1155" s="14"/>
      <c r="O1155" s="12"/>
      <c r="P1155" s="12"/>
      <c r="Q1155" s="12"/>
      <c r="R1155" s="14"/>
      <c r="S1155" s="14"/>
      <c r="T1155" s="12"/>
      <c r="U1155" s="2"/>
      <c r="V1155" s="12"/>
      <c r="W1155" s="2"/>
      <c r="X1155" s="2"/>
      <c r="Y1155" s="2"/>
      <c r="Z1155" s="2"/>
      <c r="AA1155" s="2"/>
    </row>
    <row r="1156" spans="1:27" s="1" customFormat="1">
      <c r="A1156"/>
      <c r="B1156"/>
      <c r="C1156"/>
      <c r="D1156"/>
      <c r="E1156"/>
      <c r="F1156"/>
      <c r="G1156"/>
      <c r="H1156"/>
      <c r="I1156"/>
      <c r="K1156" s="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3"/>
      <c r="V1156" s="13"/>
      <c r="W1156" s="12"/>
      <c r="X1156" s="2"/>
      <c r="Y1156" s="2"/>
      <c r="Z1156" s="2"/>
      <c r="AA1156" s="2"/>
    </row>
    <row r="1157" spans="1:27" s="1" customFormat="1">
      <c r="A1157"/>
      <c r="B1157"/>
      <c r="C1157"/>
      <c r="D1157"/>
      <c r="E1157"/>
      <c r="F1157"/>
      <c r="G1157"/>
      <c r="H1157"/>
      <c r="I1157"/>
      <c r="K1157" s="2"/>
      <c r="L1157" s="10"/>
      <c r="M1157" s="10"/>
      <c r="N1157" s="9"/>
      <c r="O1157" s="6"/>
      <c r="P1157" s="8"/>
      <c r="Q1157" s="6"/>
      <c r="R1157" s="8"/>
      <c r="S1157" s="6"/>
      <c r="T1157" s="8"/>
      <c r="U1157" s="7"/>
      <c r="V1157" s="7"/>
      <c r="W1157" s="6"/>
      <c r="X1157" s="2"/>
      <c r="Y1157" s="2"/>
      <c r="Z1157" s="2"/>
      <c r="AA1157" s="2"/>
    </row>
    <row r="1158" spans="1:27" s="1" customFormat="1">
      <c r="A1158"/>
      <c r="B1158"/>
      <c r="C1158"/>
      <c r="D1158"/>
      <c r="E1158"/>
      <c r="F1158"/>
      <c r="G1158"/>
      <c r="H1158"/>
      <c r="I1158"/>
      <c r="K1158" s="11"/>
      <c r="L1158" s="10"/>
      <c r="M1158" s="10"/>
      <c r="N1158" s="9"/>
      <c r="O1158" s="6"/>
      <c r="P1158" s="8"/>
      <c r="Q1158" s="6"/>
      <c r="R1158" s="8"/>
      <c r="S1158" s="6"/>
      <c r="T1158" s="8"/>
      <c r="U1158" s="7"/>
      <c r="V1158" s="7"/>
      <c r="W1158" s="6"/>
      <c r="X1158" s="2"/>
      <c r="Y1158" s="2"/>
      <c r="Z1158" s="2"/>
      <c r="AA1158" s="2"/>
    </row>
    <row r="1159" spans="1:27" s="1" customFormat="1">
      <c r="A1159"/>
      <c r="B1159"/>
      <c r="C1159"/>
      <c r="D1159"/>
      <c r="E1159"/>
      <c r="F1159"/>
      <c r="G1159"/>
      <c r="H1159"/>
      <c r="I1159"/>
      <c r="K1159" s="2"/>
      <c r="L1159" s="10"/>
      <c r="M1159" s="10"/>
      <c r="N1159" s="9"/>
      <c r="O1159" s="6"/>
      <c r="P1159" s="8"/>
      <c r="Q1159" s="6"/>
      <c r="R1159" s="8"/>
      <c r="S1159" s="6"/>
      <c r="T1159" s="8"/>
      <c r="U1159" s="7"/>
      <c r="V1159" s="7"/>
      <c r="W1159" s="6"/>
      <c r="X1159" s="2"/>
      <c r="Y1159" s="2"/>
      <c r="Z1159" s="2"/>
      <c r="AA1159" s="2"/>
    </row>
    <row r="1160" spans="1:27" s="1" customFormat="1">
      <c r="A1160"/>
      <c r="B1160"/>
      <c r="C1160"/>
      <c r="D1160"/>
      <c r="E1160"/>
      <c r="F1160"/>
      <c r="G1160"/>
      <c r="H1160"/>
      <c r="I1160"/>
      <c r="K1160" s="2"/>
      <c r="L1160" s="10"/>
      <c r="M1160" s="10"/>
      <c r="N1160" s="9"/>
      <c r="O1160" s="6"/>
      <c r="P1160" s="8"/>
      <c r="Q1160" s="6"/>
      <c r="R1160" s="8"/>
      <c r="S1160" s="6"/>
      <c r="T1160" s="8"/>
      <c r="U1160" s="7"/>
      <c r="V1160" s="7"/>
      <c r="W1160" s="6"/>
      <c r="X1160" s="2"/>
      <c r="Y1160" s="2"/>
      <c r="Z1160" s="2"/>
      <c r="AA1160" s="2"/>
    </row>
    <row r="1161" spans="1:27" s="1" customFormat="1">
      <c r="A1161"/>
      <c r="B1161"/>
      <c r="C1161"/>
      <c r="D1161"/>
      <c r="E1161"/>
      <c r="F1161"/>
      <c r="G1161"/>
      <c r="H1161"/>
      <c r="I1161"/>
      <c r="K1161" s="2"/>
      <c r="L1161" s="2"/>
      <c r="M1161" s="2"/>
      <c r="N1161" s="2"/>
      <c r="O1161" s="6"/>
      <c r="P1161" s="8"/>
      <c r="Q1161" s="6"/>
      <c r="R1161" s="8"/>
      <c r="S1161" s="6"/>
      <c r="T1161" s="8"/>
      <c r="U1161" s="7"/>
      <c r="V1161" s="7"/>
      <c r="W1161" s="6"/>
      <c r="X1161" s="2"/>
      <c r="Y1161" s="2"/>
      <c r="Z1161" s="2"/>
      <c r="AA1161" s="2"/>
    </row>
    <row r="1162" spans="1:27" s="1" customFormat="1">
      <c r="A1162"/>
      <c r="B1162"/>
      <c r="C1162"/>
      <c r="D1162"/>
      <c r="E1162"/>
      <c r="F1162"/>
      <c r="G1162"/>
      <c r="H1162"/>
      <c r="I1162"/>
      <c r="K1162" s="2"/>
      <c r="L1162" s="2"/>
      <c r="M1162" s="2"/>
      <c r="N1162" s="2"/>
      <c r="O1162" s="5"/>
      <c r="P1162" s="4"/>
      <c r="Q1162" s="2"/>
      <c r="R1162" s="2"/>
      <c r="S1162" s="2"/>
      <c r="T1162" s="2"/>
      <c r="U1162" s="2"/>
      <c r="V1162" s="2"/>
      <c r="W1162" s="2"/>
      <c r="X1162" s="2"/>
      <c r="Y1162" s="2"/>
      <c r="Z1162" s="2"/>
      <c r="AA1162" s="2"/>
    </row>
    <row r="1163" spans="1:27" s="1" customFormat="1">
      <c r="A1163"/>
      <c r="B1163"/>
      <c r="C1163"/>
      <c r="D1163"/>
      <c r="E1163"/>
      <c r="F1163"/>
      <c r="G1163"/>
      <c r="H1163"/>
      <c r="I1163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  <c r="AA1163" s="2"/>
    </row>
    <row r="1164" spans="1:27" s="1" customFormat="1">
      <c r="A1164"/>
      <c r="B1164"/>
      <c r="C1164"/>
      <c r="D1164"/>
      <c r="E1164"/>
      <c r="F1164"/>
      <c r="G1164"/>
      <c r="H1164"/>
      <c r="I1164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  <c r="AA1164" s="2"/>
    </row>
    <row r="1165" spans="1:27" s="1" customFormat="1">
      <c r="A1165"/>
      <c r="B1165"/>
      <c r="C1165"/>
      <c r="D1165"/>
      <c r="E1165"/>
      <c r="F1165"/>
      <c r="G1165"/>
      <c r="H1165"/>
      <c r="I1165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  <c r="AA1165" s="2"/>
    </row>
    <row r="1166" spans="1:27" s="1" customFormat="1">
      <c r="A1166"/>
      <c r="B1166"/>
      <c r="C1166"/>
      <c r="D1166"/>
      <c r="E1166"/>
      <c r="F1166"/>
      <c r="G1166"/>
      <c r="H1166"/>
      <c r="I1166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  <c r="AA1166" s="2"/>
    </row>
    <row r="1167" spans="1:27" s="1" customFormat="1">
      <c r="A1167"/>
      <c r="B1167"/>
      <c r="C1167"/>
      <c r="D1167"/>
      <c r="E1167"/>
      <c r="F1167"/>
      <c r="G1167"/>
      <c r="H1167"/>
      <c r="I1167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  <c r="AA1167" s="2"/>
    </row>
    <row r="1168" spans="1:27" s="1" customFormat="1">
      <c r="A1168"/>
      <c r="B1168"/>
      <c r="C1168"/>
      <c r="D1168"/>
      <c r="E1168"/>
      <c r="F1168"/>
      <c r="G1168"/>
      <c r="H1168"/>
      <c r="I1168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  <c r="AA1168" s="2"/>
    </row>
    <row r="1169" spans="1:27" s="1" customFormat="1">
      <c r="A1169"/>
      <c r="B1169"/>
      <c r="C1169"/>
      <c r="D1169"/>
      <c r="E1169"/>
      <c r="F1169"/>
      <c r="G1169"/>
      <c r="H1169"/>
      <c r="I1169"/>
      <c r="J1169" s="3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  <c r="AA1169" s="2"/>
    </row>
    <row r="1170" spans="1:27" s="1" customFormat="1">
      <c r="A1170"/>
      <c r="B1170"/>
      <c r="C1170"/>
      <c r="D1170"/>
      <c r="E1170"/>
      <c r="F1170"/>
      <c r="G1170"/>
      <c r="H1170"/>
      <c r="I1170"/>
      <c r="J1170" s="3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  <c r="AA1170" s="2"/>
    </row>
    <row r="1171" spans="1:27" s="1" customFormat="1">
      <c r="A1171"/>
      <c r="B1171"/>
      <c r="C1171"/>
      <c r="D1171"/>
      <c r="E1171"/>
      <c r="F1171"/>
      <c r="G1171"/>
      <c r="H1171"/>
      <c r="I1171"/>
      <c r="J1171" s="3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  <c r="AA1171" s="2"/>
    </row>
    <row r="1172" spans="1:27" s="1" customFormat="1">
      <c r="A1172"/>
      <c r="B1172"/>
      <c r="C1172"/>
      <c r="D1172"/>
      <c r="E1172"/>
      <c r="F1172"/>
      <c r="G1172"/>
      <c r="H1172"/>
      <c r="I1172"/>
      <c r="J1172" s="3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  <c r="AA1172" s="2"/>
    </row>
    <row r="1173" spans="1:27" s="1" customFormat="1">
      <c r="A1173"/>
      <c r="B1173"/>
      <c r="C1173"/>
      <c r="D1173"/>
      <c r="E1173"/>
      <c r="F1173"/>
      <c r="G1173"/>
      <c r="H1173"/>
      <c r="I1173"/>
      <c r="J1173" s="3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  <c r="AA1173" s="2"/>
    </row>
    <row r="1174" spans="1:27" s="1" customFormat="1">
      <c r="A1174"/>
      <c r="B1174"/>
      <c r="C1174"/>
      <c r="D1174"/>
      <c r="E1174"/>
      <c r="F1174"/>
      <c r="G1174"/>
      <c r="H1174"/>
      <c r="I1174"/>
      <c r="J1174" s="3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  <c r="AA1174" s="2"/>
    </row>
    <row r="1175" spans="1:27" s="1" customFormat="1">
      <c r="A1175"/>
      <c r="B1175"/>
      <c r="C1175"/>
      <c r="D1175"/>
      <c r="E1175"/>
      <c r="F1175"/>
      <c r="G1175"/>
      <c r="H1175"/>
      <c r="I1175"/>
      <c r="J1175" s="3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  <c r="AA1175" s="2"/>
    </row>
    <row r="1176" spans="1:27" s="1" customFormat="1">
      <c r="A1176"/>
      <c r="B1176"/>
      <c r="C1176"/>
      <c r="D1176"/>
      <c r="E1176"/>
      <c r="F1176"/>
      <c r="G1176"/>
      <c r="H1176"/>
      <c r="I1176"/>
      <c r="J1176" s="3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  <c r="AA1176" s="2"/>
    </row>
    <row r="1177" spans="1:27" s="1" customFormat="1">
      <c r="A1177"/>
      <c r="B1177"/>
      <c r="C1177"/>
      <c r="D1177"/>
      <c r="E1177"/>
      <c r="F1177"/>
      <c r="G1177"/>
      <c r="H1177"/>
      <c r="I1177"/>
      <c r="J1177" s="3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  <c r="AA1177" s="2"/>
    </row>
    <row r="1178" spans="1:27" s="1" customFormat="1">
      <c r="A1178"/>
      <c r="B1178"/>
      <c r="C1178"/>
      <c r="D1178"/>
      <c r="E1178"/>
      <c r="F1178"/>
      <c r="G1178"/>
      <c r="H1178"/>
      <c r="I1178"/>
      <c r="J1178" s="3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  <c r="AA1178" s="2"/>
    </row>
    <row r="1179" spans="1:27" s="1" customFormat="1">
      <c r="A1179"/>
      <c r="B1179"/>
      <c r="C1179"/>
      <c r="D1179"/>
      <c r="E1179"/>
      <c r="F1179"/>
      <c r="G1179"/>
      <c r="H1179"/>
      <c r="I1179"/>
      <c r="J1179" s="3"/>
      <c r="K1179" s="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2"/>
      <c r="W1179" s="12"/>
      <c r="X1179" s="2"/>
      <c r="Y1179" s="2"/>
      <c r="Z1179" s="2"/>
      <c r="AA1179" s="2"/>
    </row>
    <row r="1180" spans="1:27" s="1" customFormat="1">
      <c r="A1180"/>
      <c r="B1180"/>
      <c r="C1180"/>
      <c r="D1180"/>
      <c r="E1180"/>
      <c r="F1180"/>
      <c r="G1180"/>
      <c r="H1180"/>
      <c r="I1180"/>
      <c r="J1180" s="3"/>
      <c r="K1180" s="2"/>
      <c r="L1180" s="14"/>
      <c r="M1180" s="14"/>
      <c r="N1180" s="14"/>
      <c r="O1180" s="12"/>
      <c r="P1180" s="12"/>
      <c r="Q1180" s="12"/>
      <c r="R1180" s="14"/>
      <c r="S1180" s="14"/>
      <c r="T1180" s="12"/>
      <c r="U1180" s="2"/>
      <c r="V1180" s="12"/>
      <c r="W1180" s="2"/>
      <c r="X1180" s="2"/>
      <c r="Y1180" s="2"/>
      <c r="Z1180" s="2"/>
      <c r="AA1180" s="2"/>
    </row>
    <row r="1181" spans="1:27" s="1" customFormat="1">
      <c r="A1181"/>
      <c r="B1181"/>
      <c r="C1181"/>
      <c r="D1181"/>
      <c r="E1181"/>
      <c r="F1181"/>
      <c r="G1181"/>
      <c r="H1181"/>
      <c r="I1181"/>
      <c r="J1181" s="3"/>
      <c r="K1181" s="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3"/>
      <c r="V1181" s="13"/>
      <c r="W1181" s="12"/>
      <c r="X1181" s="2"/>
      <c r="Y1181" s="2"/>
      <c r="Z1181" s="2"/>
      <c r="AA1181" s="2"/>
    </row>
    <row r="1182" spans="1:27" s="1" customFormat="1">
      <c r="A1182"/>
      <c r="B1182"/>
      <c r="C1182"/>
      <c r="D1182"/>
      <c r="E1182"/>
      <c r="F1182"/>
      <c r="G1182"/>
      <c r="H1182"/>
      <c r="I1182"/>
      <c r="J1182" s="3"/>
      <c r="K1182" s="2"/>
      <c r="L1182" s="10"/>
      <c r="M1182" s="10"/>
      <c r="N1182" s="9"/>
      <c r="O1182" s="6"/>
      <c r="P1182" s="8"/>
      <c r="Q1182" s="6"/>
      <c r="R1182" s="8"/>
      <c r="S1182" s="6"/>
      <c r="T1182" s="8"/>
      <c r="U1182" s="7"/>
      <c r="V1182" s="7"/>
      <c r="W1182" s="6"/>
      <c r="X1182" s="2"/>
      <c r="Y1182" s="2"/>
      <c r="Z1182" s="2"/>
      <c r="AA1182" s="2"/>
    </row>
    <row r="1183" spans="1:27" s="1" customFormat="1">
      <c r="A1183"/>
      <c r="B1183"/>
      <c r="C1183"/>
      <c r="D1183"/>
      <c r="E1183"/>
      <c r="F1183"/>
      <c r="G1183"/>
      <c r="H1183"/>
      <c r="I1183"/>
      <c r="J1183" s="3"/>
      <c r="K1183" s="11"/>
      <c r="L1183" s="10"/>
      <c r="M1183" s="10"/>
      <c r="N1183" s="9"/>
      <c r="O1183" s="6"/>
      <c r="P1183" s="8"/>
      <c r="Q1183" s="6"/>
      <c r="R1183" s="8"/>
      <c r="S1183" s="6"/>
      <c r="T1183" s="8"/>
      <c r="U1183" s="7"/>
      <c r="V1183" s="7"/>
      <c r="W1183" s="6"/>
      <c r="X1183" s="2"/>
      <c r="Y1183" s="2"/>
      <c r="Z1183" s="2"/>
      <c r="AA1183" s="2"/>
    </row>
    <row r="1184" spans="1:27" s="1" customFormat="1">
      <c r="A1184"/>
      <c r="B1184"/>
      <c r="C1184"/>
      <c r="D1184"/>
      <c r="E1184"/>
      <c r="F1184"/>
      <c r="G1184"/>
      <c r="H1184"/>
      <c r="I1184"/>
      <c r="J1184" s="3"/>
      <c r="K1184" s="2"/>
      <c r="L1184" s="10"/>
      <c r="M1184" s="10"/>
      <c r="N1184" s="9"/>
      <c r="O1184" s="6"/>
      <c r="P1184" s="8"/>
      <c r="Q1184" s="6"/>
      <c r="R1184" s="8"/>
      <c r="S1184" s="6"/>
      <c r="T1184" s="8"/>
      <c r="U1184" s="7"/>
      <c r="V1184" s="7"/>
      <c r="W1184" s="6"/>
      <c r="X1184" s="2"/>
      <c r="Y1184" s="2"/>
      <c r="Z1184" s="2"/>
      <c r="AA1184" s="2"/>
    </row>
    <row r="1185" spans="1:27" s="1" customFormat="1">
      <c r="A1185"/>
      <c r="B1185"/>
      <c r="C1185"/>
      <c r="D1185"/>
      <c r="E1185"/>
      <c r="F1185"/>
      <c r="G1185"/>
      <c r="H1185"/>
      <c r="I1185"/>
      <c r="J1185" s="3"/>
      <c r="K1185" s="2"/>
      <c r="L1185" s="10"/>
      <c r="M1185" s="10"/>
      <c r="N1185" s="9"/>
      <c r="O1185" s="6"/>
      <c r="P1185" s="8"/>
      <c r="Q1185" s="6"/>
      <c r="R1185" s="8"/>
      <c r="S1185" s="6"/>
      <c r="T1185" s="8"/>
      <c r="U1185" s="7"/>
      <c r="V1185" s="7"/>
      <c r="W1185" s="6"/>
      <c r="X1185" s="2"/>
      <c r="Y1185" s="2"/>
      <c r="Z1185" s="2"/>
      <c r="AA1185" s="2"/>
    </row>
    <row r="1186" spans="1:27" s="1" customFormat="1">
      <c r="A1186"/>
      <c r="B1186"/>
      <c r="C1186"/>
      <c r="D1186"/>
      <c r="E1186"/>
      <c r="F1186"/>
      <c r="G1186"/>
      <c r="H1186"/>
      <c r="I1186"/>
      <c r="J1186" s="3"/>
      <c r="K1186" s="2"/>
      <c r="L1186" s="2"/>
      <c r="M1186" s="2"/>
      <c r="N1186" s="2"/>
      <c r="O1186" s="6"/>
      <c r="P1186" s="8"/>
      <c r="Q1186" s="6"/>
      <c r="R1186" s="8"/>
      <c r="S1186" s="6"/>
      <c r="T1186" s="8"/>
      <c r="U1186" s="7"/>
      <c r="V1186" s="7"/>
      <c r="W1186" s="6"/>
      <c r="X1186" s="2"/>
      <c r="Y1186" s="2"/>
      <c r="Z1186" s="2"/>
      <c r="AA1186" s="2"/>
    </row>
    <row r="1187" spans="1:27" s="1" customFormat="1">
      <c r="A1187"/>
      <c r="B1187"/>
      <c r="C1187"/>
      <c r="D1187"/>
      <c r="E1187"/>
      <c r="F1187"/>
      <c r="G1187"/>
      <c r="H1187"/>
      <c r="I1187"/>
      <c r="J1187" s="3"/>
      <c r="K1187" s="2"/>
      <c r="L1187" s="2"/>
      <c r="M1187" s="2"/>
      <c r="N1187" s="2"/>
      <c r="O1187" s="5"/>
      <c r="P1187" s="4"/>
      <c r="Q1187" s="2"/>
      <c r="R1187" s="2"/>
      <c r="S1187" s="2"/>
      <c r="T1187" s="2"/>
      <c r="U1187" s="2"/>
      <c r="V1187" s="2"/>
      <c r="W1187" s="2"/>
      <c r="X1187" s="2"/>
      <c r="Y1187" s="2"/>
      <c r="Z1187" s="2"/>
      <c r="AA1187" s="2"/>
    </row>
    <row r="1188" spans="1:27" s="1" customFormat="1">
      <c r="A1188"/>
      <c r="B1188"/>
      <c r="C1188"/>
      <c r="D1188"/>
      <c r="E1188"/>
      <c r="F1188"/>
      <c r="G1188"/>
      <c r="H1188"/>
      <c r="I1188"/>
      <c r="J1188" s="3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  <c r="AA1188" s="2"/>
    </row>
    <row r="1189" spans="1:27" s="1" customFormat="1">
      <c r="A1189"/>
      <c r="B1189"/>
      <c r="C1189"/>
      <c r="D1189"/>
      <c r="E1189"/>
      <c r="F1189"/>
      <c r="G1189"/>
      <c r="H1189"/>
      <c r="I1189"/>
      <c r="J1189" s="3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  <c r="AA1189" s="2"/>
    </row>
    <row r="1190" spans="1:27" s="1" customFormat="1">
      <c r="A1190"/>
      <c r="B1190"/>
      <c r="C1190"/>
      <c r="D1190"/>
      <c r="E1190"/>
      <c r="F1190"/>
      <c r="G1190"/>
      <c r="H1190"/>
      <c r="I1190"/>
      <c r="J1190" s="3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  <c r="AA1190" s="2"/>
    </row>
    <row r="1191" spans="1:27" s="1" customFormat="1">
      <c r="A1191"/>
      <c r="B1191"/>
      <c r="C1191"/>
      <c r="D1191"/>
      <c r="E1191"/>
      <c r="F1191"/>
      <c r="G1191"/>
      <c r="H1191"/>
      <c r="I1191"/>
      <c r="J1191" s="3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  <c r="AA1191" s="2"/>
    </row>
    <row r="1192" spans="1:27" s="1" customFormat="1">
      <c r="A1192"/>
      <c r="B1192"/>
      <c r="C1192"/>
      <c r="D1192"/>
      <c r="E1192"/>
      <c r="F1192"/>
      <c r="G1192"/>
      <c r="H1192"/>
      <c r="I1192"/>
      <c r="J1192" s="3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  <c r="AA1192" s="2"/>
    </row>
    <row r="1193" spans="1:27" s="1" customFormat="1">
      <c r="A1193"/>
      <c r="B1193"/>
      <c r="C1193"/>
      <c r="D1193"/>
      <c r="E1193"/>
      <c r="F1193"/>
      <c r="G1193"/>
      <c r="H1193"/>
      <c r="I1193"/>
      <c r="J1193" s="3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  <c r="AA1193" s="2"/>
    </row>
    <row r="1194" spans="1:27" s="1" customFormat="1">
      <c r="A1194"/>
      <c r="B1194"/>
      <c r="C1194"/>
      <c r="D1194"/>
      <c r="E1194"/>
      <c r="F1194"/>
      <c r="G1194"/>
      <c r="H1194"/>
      <c r="I1194"/>
      <c r="J1194" s="3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  <c r="AA1194" s="2"/>
    </row>
    <row r="1195" spans="1:27" s="1" customFormat="1">
      <c r="A1195"/>
      <c r="B1195"/>
      <c r="C1195"/>
      <c r="D1195"/>
      <c r="E1195"/>
      <c r="F1195"/>
      <c r="G1195"/>
      <c r="H1195"/>
      <c r="I1195"/>
      <c r="J1195" s="3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  <c r="AA1195" s="2"/>
    </row>
    <row r="1196" spans="1:27" s="1" customFormat="1">
      <c r="A1196"/>
      <c r="B1196"/>
      <c r="C1196"/>
      <c r="D1196"/>
      <c r="E1196"/>
      <c r="F1196"/>
      <c r="G1196"/>
      <c r="H1196"/>
      <c r="I1196"/>
      <c r="J1196" s="3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  <c r="AA1196" s="2"/>
    </row>
    <row r="1197" spans="1:27" s="1" customFormat="1">
      <c r="A1197"/>
      <c r="B1197"/>
      <c r="C1197"/>
      <c r="D1197"/>
      <c r="E1197"/>
      <c r="F1197"/>
      <c r="G1197"/>
      <c r="H1197"/>
      <c r="I1197"/>
      <c r="J1197" s="3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  <c r="AA1197" s="2"/>
    </row>
    <row r="1198" spans="1:27" s="1" customFormat="1">
      <c r="A1198"/>
      <c r="B1198"/>
      <c r="C1198"/>
      <c r="D1198"/>
      <c r="E1198"/>
      <c r="F1198"/>
      <c r="G1198"/>
      <c r="H1198"/>
      <c r="I1198"/>
      <c r="J1198" s="3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  <c r="AA1198" s="2"/>
    </row>
    <row r="1199" spans="1:27" s="1" customFormat="1">
      <c r="A1199"/>
      <c r="B1199"/>
      <c r="C1199"/>
      <c r="D1199"/>
      <c r="E1199"/>
      <c r="F1199"/>
      <c r="G1199"/>
      <c r="H1199"/>
      <c r="I1199"/>
      <c r="J1199" s="3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  <c r="AA1199" s="2"/>
    </row>
    <row r="1200" spans="1:27" s="1" customFormat="1">
      <c r="A1200"/>
      <c r="B1200"/>
      <c r="C1200"/>
      <c r="D1200"/>
      <c r="E1200"/>
      <c r="F1200"/>
      <c r="G1200"/>
      <c r="H1200"/>
      <c r="I1200"/>
      <c r="J1200" s="3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  <c r="AA1200" s="2"/>
    </row>
    <row r="1201" spans="1:27" s="1" customFormat="1">
      <c r="A1201"/>
      <c r="B1201"/>
      <c r="C1201"/>
      <c r="D1201"/>
      <c r="E1201"/>
      <c r="F1201"/>
      <c r="G1201"/>
      <c r="H1201"/>
      <c r="I1201"/>
      <c r="J1201" s="3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  <c r="AA1201" s="2"/>
    </row>
    <row r="1202" spans="1:27" s="1" customFormat="1">
      <c r="A1202"/>
      <c r="B1202"/>
      <c r="C1202"/>
      <c r="D1202"/>
      <c r="E1202"/>
      <c r="F1202"/>
      <c r="G1202"/>
      <c r="H1202"/>
      <c r="I1202"/>
      <c r="J1202" s="3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  <c r="AA1202" s="2"/>
    </row>
    <row r="1203" spans="1:27" s="1" customFormat="1">
      <c r="A1203"/>
      <c r="B1203"/>
      <c r="C1203"/>
      <c r="D1203"/>
      <c r="E1203"/>
      <c r="F1203"/>
      <c r="G1203"/>
      <c r="H1203"/>
      <c r="I1203"/>
      <c r="J1203" s="3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  <c r="AA1203" s="2"/>
    </row>
    <row r="1204" spans="1:27" s="1" customFormat="1">
      <c r="A1204"/>
      <c r="B1204"/>
      <c r="C1204"/>
      <c r="D1204"/>
      <c r="E1204"/>
      <c r="F1204"/>
      <c r="G1204"/>
      <c r="H1204"/>
      <c r="I1204"/>
      <c r="J1204" s="3"/>
      <c r="K1204" s="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2"/>
      <c r="W1204" s="12"/>
      <c r="X1204" s="2"/>
      <c r="Y1204" s="2"/>
      <c r="Z1204" s="2"/>
      <c r="AA1204" s="2"/>
    </row>
    <row r="1205" spans="1:27" s="1" customFormat="1">
      <c r="A1205"/>
      <c r="B1205"/>
      <c r="C1205"/>
      <c r="D1205"/>
      <c r="E1205"/>
      <c r="F1205"/>
      <c r="G1205"/>
      <c r="H1205"/>
      <c r="I1205"/>
      <c r="J1205" s="3"/>
      <c r="K1205" s="2"/>
      <c r="L1205" s="14"/>
      <c r="M1205" s="14"/>
      <c r="N1205" s="14"/>
      <c r="O1205" s="12"/>
      <c r="P1205" s="12"/>
      <c r="Q1205" s="12"/>
      <c r="R1205" s="14"/>
      <c r="S1205" s="14"/>
      <c r="T1205" s="12"/>
      <c r="U1205" s="2"/>
      <c r="V1205" s="12"/>
      <c r="W1205" s="2"/>
      <c r="X1205" s="2"/>
      <c r="Y1205" s="2"/>
      <c r="Z1205" s="2"/>
      <c r="AA1205" s="2"/>
    </row>
    <row r="1206" spans="1:27" s="1" customFormat="1">
      <c r="A1206"/>
      <c r="B1206"/>
      <c r="C1206"/>
      <c r="D1206"/>
      <c r="E1206"/>
      <c r="F1206"/>
      <c r="G1206"/>
      <c r="H1206"/>
      <c r="I1206"/>
      <c r="J1206" s="3"/>
      <c r="K1206" s="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3"/>
      <c r="V1206" s="13"/>
      <c r="W1206" s="12"/>
      <c r="X1206" s="2"/>
      <c r="Y1206" s="2"/>
      <c r="Z1206" s="2"/>
      <c r="AA1206" s="2"/>
    </row>
    <row r="1207" spans="1:27" s="1" customFormat="1">
      <c r="A1207"/>
      <c r="B1207"/>
      <c r="C1207"/>
      <c r="D1207"/>
      <c r="E1207"/>
      <c r="F1207"/>
      <c r="G1207"/>
      <c r="H1207"/>
      <c r="I1207"/>
      <c r="J1207" s="3"/>
      <c r="K1207" s="2"/>
      <c r="L1207" s="10"/>
      <c r="M1207" s="10"/>
      <c r="N1207" s="9"/>
      <c r="O1207" s="6"/>
      <c r="P1207" s="8"/>
      <c r="Q1207" s="6"/>
      <c r="R1207" s="8"/>
      <c r="S1207" s="6"/>
      <c r="T1207" s="8"/>
      <c r="U1207" s="7"/>
      <c r="V1207" s="7"/>
      <c r="W1207" s="6"/>
      <c r="X1207" s="2"/>
      <c r="Y1207" s="2"/>
      <c r="Z1207" s="2"/>
      <c r="AA1207" s="2"/>
    </row>
    <row r="1208" spans="1:27" s="1" customFormat="1">
      <c r="A1208"/>
      <c r="B1208"/>
      <c r="C1208"/>
      <c r="D1208"/>
      <c r="E1208"/>
      <c r="F1208"/>
      <c r="G1208"/>
      <c r="H1208"/>
      <c r="I1208"/>
      <c r="J1208" s="3"/>
      <c r="K1208" s="11"/>
      <c r="L1208" s="10"/>
      <c r="M1208" s="10"/>
      <c r="N1208" s="9"/>
      <c r="O1208" s="6"/>
      <c r="P1208" s="8"/>
      <c r="Q1208" s="6"/>
      <c r="R1208" s="8"/>
      <c r="S1208" s="6"/>
      <c r="T1208" s="8"/>
      <c r="U1208" s="7"/>
      <c r="V1208" s="7"/>
      <c r="W1208" s="6"/>
      <c r="X1208" s="2"/>
      <c r="Y1208" s="2"/>
      <c r="Z1208" s="2"/>
      <c r="AA1208" s="2"/>
    </row>
    <row r="1209" spans="1:27" s="1" customFormat="1">
      <c r="A1209"/>
      <c r="B1209"/>
      <c r="C1209"/>
      <c r="D1209"/>
      <c r="E1209"/>
      <c r="F1209"/>
      <c r="G1209"/>
      <c r="H1209"/>
      <c r="I1209"/>
      <c r="J1209" s="3"/>
      <c r="K1209" s="2"/>
      <c r="L1209" s="10"/>
      <c r="M1209" s="10"/>
      <c r="N1209" s="9"/>
      <c r="O1209" s="6"/>
      <c r="P1209" s="8"/>
      <c r="Q1209" s="6"/>
      <c r="R1209" s="8"/>
      <c r="S1209" s="6"/>
      <c r="T1209" s="8"/>
      <c r="U1209" s="7"/>
      <c r="V1209" s="7"/>
      <c r="W1209" s="6"/>
      <c r="X1209" s="2"/>
      <c r="Y1209" s="2"/>
      <c r="Z1209" s="2"/>
      <c r="AA1209" s="2"/>
    </row>
    <row r="1210" spans="1:27" s="1" customFormat="1">
      <c r="A1210"/>
      <c r="B1210"/>
      <c r="C1210"/>
      <c r="D1210"/>
      <c r="E1210"/>
      <c r="F1210"/>
      <c r="G1210"/>
      <c r="H1210"/>
      <c r="I1210"/>
      <c r="J1210" s="3"/>
      <c r="K1210" s="2"/>
      <c r="L1210" s="10"/>
      <c r="M1210" s="10"/>
      <c r="N1210" s="9"/>
      <c r="O1210" s="6"/>
      <c r="P1210" s="8"/>
      <c r="Q1210" s="6"/>
      <c r="R1210" s="8"/>
      <c r="S1210" s="6"/>
      <c r="T1210" s="8"/>
      <c r="U1210" s="7"/>
      <c r="V1210" s="7"/>
      <c r="W1210" s="6"/>
      <c r="X1210" s="2"/>
      <c r="Y1210" s="2"/>
      <c r="Z1210" s="2"/>
      <c r="AA1210" s="2"/>
    </row>
    <row r="1211" spans="1:27" s="1" customFormat="1">
      <c r="A1211"/>
      <c r="B1211"/>
      <c r="C1211"/>
      <c r="D1211"/>
      <c r="E1211"/>
      <c r="F1211"/>
      <c r="G1211"/>
      <c r="H1211"/>
      <c r="I1211"/>
      <c r="J1211" s="3"/>
      <c r="K1211" s="2"/>
      <c r="L1211" s="2"/>
      <c r="M1211" s="2"/>
      <c r="N1211" s="2"/>
      <c r="O1211" s="6"/>
      <c r="P1211" s="8"/>
      <c r="Q1211" s="6"/>
      <c r="R1211" s="8"/>
      <c r="S1211" s="6"/>
      <c r="T1211" s="8"/>
      <c r="U1211" s="7"/>
      <c r="V1211" s="7"/>
      <c r="W1211" s="6"/>
      <c r="X1211" s="2"/>
      <c r="Y1211" s="2"/>
      <c r="Z1211" s="2"/>
      <c r="AA1211" s="2"/>
    </row>
    <row r="1212" spans="1:27" s="1" customFormat="1">
      <c r="A1212"/>
      <c r="B1212"/>
      <c r="C1212"/>
      <c r="D1212"/>
      <c r="E1212"/>
      <c r="F1212"/>
      <c r="G1212"/>
      <c r="H1212"/>
      <c r="I1212"/>
      <c r="J1212" s="3"/>
      <c r="K1212" s="2"/>
      <c r="L1212" s="2"/>
      <c r="M1212" s="2"/>
      <c r="N1212" s="2"/>
      <c r="O1212" s="5"/>
      <c r="P1212" s="4"/>
      <c r="Q1212" s="2"/>
      <c r="R1212" s="2"/>
      <c r="S1212" s="2"/>
      <c r="T1212" s="2"/>
      <c r="U1212" s="2"/>
      <c r="V1212" s="2"/>
      <c r="W1212" s="2"/>
      <c r="X1212" s="2"/>
      <c r="Y1212" s="2"/>
      <c r="Z1212" s="2"/>
      <c r="AA1212" s="2"/>
    </row>
    <row r="1213" spans="1:27" s="1" customFormat="1">
      <c r="A1213"/>
      <c r="B1213"/>
      <c r="C1213"/>
      <c r="D1213"/>
      <c r="E1213"/>
      <c r="F1213"/>
      <c r="G1213"/>
      <c r="H1213"/>
      <c r="I1213"/>
      <c r="J1213" s="3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  <c r="AA1213" s="2"/>
    </row>
    <row r="1214" spans="1:27" s="1" customFormat="1">
      <c r="A1214"/>
      <c r="B1214"/>
      <c r="C1214"/>
      <c r="D1214"/>
      <c r="E1214"/>
      <c r="F1214"/>
      <c r="G1214"/>
      <c r="H1214"/>
      <c r="I1214"/>
      <c r="J1214" s="3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  <c r="AA1214" s="2"/>
    </row>
    <row r="1215" spans="1:27" s="1" customFormat="1">
      <c r="A1215"/>
      <c r="B1215"/>
      <c r="C1215"/>
      <c r="D1215"/>
      <c r="E1215"/>
      <c r="F1215"/>
      <c r="G1215"/>
      <c r="H1215"/>
      <c r="I1215"/>
      <c r="J1215" s="3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  <c r="AA1215" s="2"/>
    </row>
    <row r="1216" spans="1:27" s="1" customFormat="1">
      <c r="A1216"/>
      <c r="B1216"/>
      <c r="C1216"/>
      <c r="D1216"/>
      <c r="E1216"/>
      <c r="F1216"/>
      <c r="G1216"/>
      <c r="H1216"/>
      <c r="I1216"/>
      <c r="J1216" s="3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  <c r="AA1216" s="2"/>
    </row>
    <row r="1217" spans="1:27" s="1" customFormat="1">
      <c r="A1217"/>
      <c r="B1217"/>
      <c r="C1217"/>
      <c r="D1217"/>
      <c r="E1217"/>
      <c r="F1217"/>
      <c r="G1217"/>
      <c r="H1217"/>
      <c r="I1217"/>
      <c r="J1217" s="3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  <c r="AA1217" s="2"/>
    </row>
    <row r="1218" spans="1:27" s="1" customFormat="1">
      <c r="A1218"/>
      <c r="B1218"/>
      <c r="C1218"/>
      <c r="D1218"/>
      <c r="E1218"/>
      <c r="F1218"/>
      <c r="G1218"/>
      <c r="H1218"/>
      <c r="I1218"/>
      <c r="J1218" s="3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  <c r="AA1218" s="2"/>
    </row>
    <row r="1219" spans="1:27" s="1" customFormat="1">
      <c r="A1219"/>
      <c r="B1219"/>
      <c r="C1219"/>
      <c r="D1219"/>
      <c r="E1219"/>
      <c r="F1219"/>
      <c r="G1219"/>
      <c r="H1219"/>
      <c r="I1219"/>
      <c r="J1219" s="3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  <c r="AA1219" s="2"/>
    </row>
    <row r="1220" spans="1:27" s="1" customFormat="1">
      <c r="A1220"/>
      <c r="B1220"/>
      <c r="C1220"/>
      <c r="D1220"/>
      <c r="E1220"/>
      <c r="F1220"/>
      <c r="G1220"/>
      <c r="H1220"/>
      <c r="I1220"/>
      <c r="J1220" s="3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</row>
    <row r="1221" spans="1:27" s="1" customFormat="1">
      <c r="A1221"/>
      <c r="B1221"/>
      <c r="C1221"/>
      <c r="D1221"/>
      <c r="E1221"/>
      <c r="F1221"/>
      <c r="G1221"/>
      <c r="H1221"/>
      <c r="I1221"/>
      <c r="J1221" s="3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  <c r="AA1221" s="2"/>
    </row>
    <row r="1222" spans="1:27" s="1" customFormat="1">
      <c r="A1222"/>
      <c r="B1222"/>
      <c r="C1222"/>
      <c r="D1222"/>
      <c r="E1222"/>
      <c r="F1222"/>
      <c r="G1222"/>
      <c r="H1222"/>
      <c r="I1222"/>
      <c r="J1222" s="3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  <c r="AA1222" s="2"/>
    </row>
    <row r="1223" spans="1:27" s="1" customFormat="1">
      <c r="A1223"/>
      <c r="B1223"/>
      <c r="C1223"/>
      <c r="D1223"/>
      <c r="E1223"/>
      <c r="F1223"/>
      <c r="G1223"/>
      <c r="H1223"/>
      <c r="I1223"/>
      <c r="J1223" s="3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  <c r="AA1223" s="2"/>
    </row>
    <row r="1224" spans="1:27" s="1" customFormat="1">
      <c r="A1224"/>
      <c r="B1224"/>
      <c r="C1224"/>
      <c r="D1224"/>
      <c r="E1224"/>
      <c r="F1224"/>
      <c r="G1224"/>
      <c r="H1224"/>
      <c r="I1224"/>
      <c r="J1224" s="3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  <c r="AA1224" s="2"/>
    </row>
    <row r="1225" spans="1:27" s="1" customFormat="1">
      <c r="A1225"/>
      <c r="B1225"/>
      <c r="C1225"/>
      <c r="D1225"/>
      <c r="E1225"/>
      <c r="F1225"/>
      <c r="G1225"/>
      <c r="H1225"/>
      <c r="I1225"/>
      <c r="J1225" s="3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  <c r="AA1225" s="2"/>
    </row>
    <row r="1226" spans="1:27" s="1" customFormat="1">
      <c r="A1226"/>
      <c r="B1226"/>
      <c r="C1226"/>
      <c r="D1226"/>
      <c r="E1226"/>
      <c r="F1226"/>
      <c r="G1226"/>
      <c r="H1226"/>
      <c r="I1226"/>
      <c r="J1226" s="3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  <c r="AA1226" s="2"/>
    </row>
    <row r="1227" spans="1:27" s="1" customFormat="1">
      <c r="A1227"/>
      <c r="B1227"/>
      <c r="C1227"/>
      <c r="D1227"/>
      <c r="E1227"/>
      <c r="F1227"/>
      <c r="G1227"/>
      <c r="H1227"/>
      <c r="I1227"/>
      <c r="J1227" s="3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  <c r="AA1227" s="2"/>
    </row>
    <row r="1228" spans="1:27" s="1" customFormat="1">
      <c r="A1228"/>
      <c r="B1228"/>
      <c r="C1228"/>
      <c r="D1228"/>
      <c r="E1228"/>
      <c r="F1228"/>
      <c r="G1228"/>
      <c r="H1228"/>
      <c r="I1228"/>
      <c r="J1228" s="3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  <c r="AA1228" s="2"/>
    </row>
    <row r="1229" spans="1:27" s="1" customFormat="1">
      <c r="A1229"/>
      <c r="B1229"/>
      <c r="C1229"/>
      <c r="D1229"/>
      <c r="E1229"/>
      <c r="F1229"/>
      <c r="G1229"/>
      <c r="H1229"/>
      <c r="I1229"/>
      <c r="J1229" s="3"/>
      <c r="K1229" s="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2"/>
      <c r="W1229" s="12"/>
      <c r="X1229" s="2"/>
      <c r="Y1229" s="2"/>
      <c r="Z1229" s="2"/>
      <c r="AA1229" s="2"/>
    </row>
    <row r="1230" spans="1:27" s="1" customFormat="1">
      <c r="A1230"/>
      <c r="B1230"/>
      <c r="C1230"/>
      <c r="D1230"/>
      <c r="E1230"/>
      <c r="F1230"/>
      <c r="G1230"/>
      <c r="H1230"/>
      <c r="I1230"/>
      <c r="J1230" s="3"/>
      <c r="K1230" s="2"/>
      <c r="L1230" s="14"/>
      <c r="M1230" s="14"/>
      <c r="N1230" s="14"/>
      <c r="O1230" s="12"/>
      <c r="P1230" s="12"/>
      <c r="Q1230" s="12"/>
      <c r="R1230" s="14"/>
      <c r="S1230" s="14"/>
      <c r="T1230" s="12"/>
      <c r="U1230" s="2"/>
      <c r="V1230" s="12"/>
      <c r="W1230" s="2"/>
      <c r="X1230" s="2"/>
      <c r="Y1230" s="2"/>
      <c r="Z1230" s="2"/>
      <c r="AA1230" s="2"/>
    </row>
    <row r="1231" spans="1:27" s="1" customFormat="1">
      <c r="A1231"/>
      <c r="B1231"/>
      <c r="C1231"/>
      <c r="D1231"/>
      <c r="E1231"/>
      <c r="F1231"/>
      <c r="G1231"/>
      <c r="H1231"/>
      <c r="I1231"/>
      <c r="J1231" s="3"/>
      <c r="K1231" s="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3"/>
      <c r="V1231" s="13"/>
      <c r="W1231" s="12"/>
      <c r="X1231" s="2"/>
      <c r="Y1231" s="2"/>
      <c r="Z1231" s="2"/>
      <c r="AA1231" s="2"/>
    </row>
    <row r="1232" spans="1:27" s="1" customFormat="1">
      <c r="A1232"/>
      <c r="B1232"/>
      <c r="C1232"/>
      <c r="D1232"/>
      <c r="E1232"/>
      <c r="F1232"/>
      <c r="G1232"/>
      <c r="H1232"/>
      <c r="I1232"/>
      <c r="J1232" s="3"/>
      <c r="K1232" s="2"/>
      <c r="L1232" s="10"/>
      <c r="M1232" s="10"/>
      <c r="N1232" s="9"/>
      <c r="O1232" s="6"/>
      <c r="P1232" s="8"/>
      <c r="Q1232" s="6"/>
      <c r="R1232" s="8"/>
      <c r="S1232" s="6"/>
      <c r="T1232" s="8"/>
      <c r="U1232" s="7"/>
      <c r="V1232" s="7"/>
      <c r="W1232" s="6"/>
      <c r="X1232" s="2"/>
      <c r="Y1232" s="2"/>
      <c r="Z1232" s="2"/>
      <c r="AA1232" s="2"/>
    </row>
    <row r="1233" spans="1:27" s="1" customFormat="1">
      <c r="A1233"/>
      <c r="B1233"/>
      <c r="C1233"/>
      <c r="D1233"/>
      <c r="E1233"/>
      <c r="F1233"/>
      <c r="G1233"/>
      <c r="H1233"/>
      <c r="I1233"/>
      <c r="K1233" s="11"/>
      <c r="L1233" s="10"/>
      <c r="M1233" s="10"/>
      <c r="N1233" s="9"/>
      <c r="O1233" s="6"/>
      <c r="P1233" s="8"/>
      <c r="Q1233" s="6"/>
      <c r="R1233" s="8"/>
      <c r="S1233" s="6"/>
      <c r="T1233" s="8"/>
      <c r="U1233" s="7"/>
      <c r="V1233" s="7"/>
      <c r="W1233" s="6"/>
      <c r="X1233" s="2"/>
      <c r="Y1233" s="2"/>
      <c r="Z1233" s="2"/>
      <c r="AA1233" s="2"/>
    </row>
    <row r="1234" spans="1:27" s="1" customFormat="1">
      <c r="A1234"/>
      <c r="B1234"/>
      <c r="C1234"/>
      <c r="D1234"/>
      <c r="E1234"/>
      <c r="F1234"/>
      <c r="G1234"/>
      <c r="H1234"/>
      <c r="I1234"/>
      <c r="K1234" s="2"/>
      <c r="L1234" s="10"/>
      <c r="M1234" s="10"/>
      <c r="N1234" s="9"/>
      <c r="O1234" s="6"/>
      <c r="P1234" s="8"/>
      <c r="Q1234" s="6"/>
      <c r="R1234" s="8"/>
      <c r="S1234" s="6"/>
      <c r="T1234" s="8"/>
      <c r="U1234" s="7"/>
      <c r="V1234" s="7"/>
      <c r="W1234" s="6"/>
      <c r="X1234" s="2"/>
      <c r="Y1234" s="2"/>
      <c r="Z1234" s="2"/>
      <c r="AA1234" s="2"/>
    </row>
    <row r="1235" spans="1:27" s="1" customFormat="1">
      <c r="A1235"/>
      <c r="B1235"/>
      <c r="C1235"/>
      <c r="D1235"/>
      <c r="E1235"/>
      <c r="F1235"/>
      <c r="G1235"/>
      <c r="H1235"/>
      <c r="I1235"/>
      <c r="K1235" s="2"/>
      <c r="L1235" s="10"/>
      <c r="M1235" s="10"/>
      <c r="N1235" s="9"/>
      <c r="O1235" s="6"/>
      <c r="P1235" s="8"/>
      <c r="Q1235" s="6"/>
      <c r="R1235" s="8"/>
      <c r="S1235" s="6"/>
      <c r="T1235" s="8"/>
      <c r="U1235" s="7"/>
      <c r="V1235" s="7"/>
      <c r="W1235" s="6"/>
      <c r="X1235" s="2"/>
      <c r="Y1235" s="2"/>
      <c r="Z1235" s="2"/>
      <c r="AA1235" s="2"/>
    </row>
    <row r="1236" spans="1:27" s="1" customFormat="1">
      <c r="A1236"/>
      <c r="B1236"/>
      <c r="C1236"/>
      <c r="D1236"/>
      <c r="E1236"/>
      <c r="F1236"/>
      <c r="G1236"/>
      <c r="H1236"/>
      <c r="I1236"/>
      <c r="K1236" s="2"/>
      <c r="L1236" s="2"/>
      <c r="M1236" s="2"/>
      <c r="N1236" s="2"/>
      <c r="O1236" s="6"/>
      <c r="P1236" s="8"/>
      <c r="Q1236" s="6"/>
      <c r="R1236" s="8"/>
      <c r="S1236" s="6"/>
      <c r="T1236" s="8"/>
      <c r="U1236" s="7"/>
      <c r="V1236" s="7"/>
      <c r="W1236" s="6"/>
      <c r="X1236" s="2"/>
      <c r="Y1236" s="2"/>
      <c r="Z1236" s="2"/>
      <c r="AA1236" s="2"/>
    </row>
    <row r="1237" spans="1:27" s="1" customFormat="1">
      <c r="A1237"/>
      <c r="B1237"/>
      <c r="C1237"/>
      <c r="D1237"/>
      <c r="E1237"/>
      <c r="F1237"/>
      <c r="G1237"/>
      <c r="H1237"/>
      <c r="I1237"/>
      <c r="K1237" s="2"/>
      <c r="L1237" s="2"/>
      <c r="M1237" s="2"/>
      <c r="N1237" s="2"/>
      <c r="O1237" s="5"/>
      <c r="P1237" s="4"/>
      <c r="Q1237" s="2"/>
      <c r="R1237" s="2"/>
      <c r="S1237" s="2"/>
      <c r="T1237" s="2"/>
      <c r="U1237" s="2"/>
      <c r="V1237" s="2"/>
      <c r="W1237" s="2"/>
      <c r="X1237" s="2"/>
      <c r="Y1237" s="2"/>
      <c r="Z1237" s="2"/>
      <c r="AA1237" s="2"/>
    </row>
    <row r="1238" spans="1:27" s="1" customFormat="1">
      <c r="A1238"/>
      <c r="B1238"/>
      <c r="C1238"/>
      <c r="D1238"/>
      <c r="E1238"/>
      <c r="F1238"/>
      <c r="G1238"/>
      <c r="H1238"/>
      <c r="I1238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  <c r="AA1238" s="2"/>
    </row>
    <row r="1239" spans="1:27" s="1" customFormat="1">
      <c r="A1239"/>
      <c r="B1239"/>
      <c r="C1239"/>
      <c r="D1239"/>
      <c r="E1239"/>
      <c r="F1239"/>
      <c r="G1239"/>
      <c r="H1239"/>
      <c r="I1239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  <c r="AA1239" s="2"/>
    </row>
    <row r="1240" spans="1:27" s="1" customFormat="1">
      <c r="A1240"/>
      <c r="B1240"/>
      <c r="C1240"/>
      <c r="D1240"/>
      <c r="E1240"/>
      <c r="F1240"/>
      <c r="G1240"/>
      <c r="H1240"/>
      <c r="I1240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</row>
    <row r="1241" spans="1:27" s="1" customFormat="1">
      <c r="A1241"/>
      <c r="B1241"/>
      <c r="C1241"/>
      <c r="D1241"/>
      <c r="E1241"/>
      <c r="F1241"/>
      <c r="G1241"/>
      <c r="H1241"/>
      <c r="I1241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</row>
    <row r="1242" spans="1:27" s="1" customFormat="1">
      <c r="A1242"/>
      <c r="B1242"/>
      <c r="C1242"/>
      <c r="D1242"/>
      <c r="E1242"/>
      <c r="F1242"/>
      <c r="G1242"/>
      <c r="H1242"/>
      <c r="I124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</row>
    <row r="1243" spans="1:27" s="1" customFormat="1">
      <c r="A1243"/>
      <c r="B1243"/>
      <c r="C1243"/>
      <c r="D1243"/>
      <c r="E1243"/>
      <c r="F1243"/>
      <c r="G1243"/>
      <c r="H1243"/>
      <c r="I1243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</row>
    <row r="1244" spans="1:27" s="1" customFormat="1">
      <c r="A1244"/>
      <c r="B1244"/>
      <c r="C1244"/>
      <c r="D1244"/>
      <c r="E1244"/>
      <c r="F1244"/>
      <c r="G1244"/>
      <c r="H1244"/>
      <c r="I1244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</row>
    <row r="1245" spans="1:27" s="1" customFormat="1">
      <c r="A1245"/>
      <c r="B1245"/>
      <c r="C1245"/>
      <c r="D1245"/>
      <c r="E1245"/>
      <c r="F1245"/>
      <c r="G1245"/>
      <c r="H1245"/>
      <c r="I1245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</row>
    <row r="1246" spans="1:27" s="1" customFormat="1">
      <c r="A1246"/>
      <c r="B1246"/>
      <c r="C1246"/>
      <c r="D1246"/>
      <c r="E1246"/>
      <c r="F1246"/>
      <c r="G1246"/>
      <c r="H1246"/>
      <c r="I1246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  <c r="AA1246" s="2"/>
    </row>
    <row r="1247" spans="1:27" s="1" customFormat="1">
      <c r="A1247"/>
      <c r="B1247"/>
      <c r="C1247"/>
      <c r="D1247"/>
      <c r="E1247"/>
      <c r="F1247"/>
      <c r="G1247"/>
      <c r="H1247"/>
      <c r="I1247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</row>
    <row r="1248" spans="1:27" s="1" customFormat="1">
      <c r="A1248"/>
      <c r="B1248"/>
      <c r="C1248"/>
      <c r="D1248"/>
      <c r="E1248"/>
      <c r="F1248"/>
      <c r="G1248"/>
      <c r="H1248"/>
      <c r="I1248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</row>
    <row r="1249" spans="1:27" s="1" customFormat="1">
      <c r="A1249"/>
      <c r="B1249"/>
      <c r="C1249"/>
      <c r="D1249"/>
      <c r="E1249"/>
      <c r="F1249"/>
      <c r="G1249"/>
      <c r="H1249"/>
      <c r="I1249"/>
      <c r="J1249" s="3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  <c r="AA1249" s="2"/>
    </row>
    <row r="1250" spans="1:27" s="1" customFormat="1">
      <c r="A1250"/>
      <c r="B1250"/>
      <c r="C1250"/>
      <c r="D1250"/>
      <c r="E1250"/>
      <c r="F1250"/>
      <c r="G1250"/>
      <c r="H1250"/>
      <c r="I1250"/>
      <c r="J1250" s="3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  <c r="AA1250" s="2"/>
    </row>
    <row r="1251" spans="1:27" s="1" customFormat="1">
      <c r="A1251"/>
      <c r="B1251"/>
      <c r="C1251"/>
      <c r="D1251"/>
      <c r="E1251"/>
      <c r="F1251"/>
      <c r="G1251"/>
      <c r="H1251"/>
      <c r="I1251"/>
      <c r="J1251" s="3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  <c r="AA1251" s="2"/>
    </row>
    <row r="1252" spans="1:27" s="1" customFormat="1">
      <c r="A1252"/>
      <c r="B1252"/>
      <c r="C1252"/>
      <c r="D1252"/>
      <c r="E1252"/>
      <c r="F1252"/>
      <c r="G1252"/>
      <c r="H1252"/>
      <c r="I1252"/>
      <c r="J1252" s="3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  <c r="AA1252" s="2"/>
    </row>
    <row r="1253" spans="1:27" s="1" customFormat="1">
      <c r="A1253"/>
      <c r="B1253"/>
      <c r="C1253"/>
      <c r="D1253"/>
      <c r="E1253"/>
      <c r="F1253"/>
      <c r="G1253"/>
      <c r="H1253"/>
      <c r="I1253"/>
      <c r="J1253" s="3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  <c r="AA1253" s="2"/>
    </row>
    <row r="1254" spans="1:27" s="1" customFormat="1">
      <c r="A1254"/>
      <c r="B1254"/>
      <c r="C1254"/>
      <c r="D1254"/>
      <c r="E1254"/>
      <c r="F1254"/>
      <c r="G1254"/>
      <c r="H1254"/>
      <c r="I1254"/>
      <c r="J1254" s="3"/>
      <c r="K1254" s="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2"/>
      <c r="W1254" s="12"/>
      <c r="X1254" s="2"/>
      <c r="Y1254" s="2"/>
      <c r="Z1254" s="2"/>
      <c r="AA1254" s="2"/>
    </row>
    <row r="1255" spans="1:27" s="1" customFormat="1">
      <c r="A1255"/>
      <c r="B1255"/>
      <c r="C1255"/>
      <c r="D1255"/>
      <c r="E1255"/>
      <c r="F1255"/>
      <c r="G1255"/>
      <c r="H1255"/>
      <c r="I1255"/>
      <c r="J1255" s="3"/>
      <c r="K1255" s="2"/>
      <c r="L1255" s="14"/>
      <c r="M1255" s="14"/>
      <c r="N1255" s="14"/>
      <c r="O1255" s="12"/>
      <c r="P1255" s="12"/>
      <c r="Q1255" s="12"/>
      <c r="R1255" s="14"/>
      <c r="S1255" s="14"/>
      <c r="T1255" s="12"/>
      <c r="U1255" s="2"/>
      <c r="V1255" s="12"/>
      <c r="W1255" s="2"/>
      <c r="X1255" s="2"/>
      <c r="Y1255" s="2"/>
      <c r="Z1255" s="2"/>
      <c r="AA1255" s="2"/>
    </row>
    <row r="1256" spans="1:27" s="1" customFormat="1">
      <c r="A1256"/>
      <c r="B1256"/>
      <c r="C1256"/>
      <c r="D1256"/>
      <c r="E1256"/>
      <c r="F1256"/>
      <c r="G1256"/>
      <c r="H1256"/>
      <c r="I1256"/>
      <c r="J1256" s="3"/>
      <c r="K1256" s="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3"/>
      <c r="V1256" s="13"/>
      <c r="W1256" s="12"/>
      <c r="X1256" s="2"/>
      <c r="Y1256" s="2"/>
      <c r="Z1256" s="2"/>
      <c r="AA1256" s="2"/>
    </row>
    <row r="1257" spans="1:27" s="1" customFormat="1">
      <c r="A1257"/>
      <c r="B1257"/>
      <c r="C1257"/>
      <c r="D1257"/>
      <c r="E1257"/>
      <c r="F1257"/>
      <c r="G1257"/>
      <c r="H1257"/>
      <c r="I1257"/>
      <c r="J1257" s="3"/>
      <c r="K1257" s="2"/>
      <c r="L1257" s="10"/>
      <c r="M1257" s="10"/>
      <c r="N1257" s="9"/>
      <c r="O1257" s="6"/>
      <c r="P1257" s="8"/>
      <c r="Q1257" s="6"/>
      <c r="R1257" s="8"/>
      <c r="S1257" s="6"/>
      <c r="T1257" s="8"/>
      <c r="U1257" s="7"/>
      <c r="V1257" s="7"/>
      <c r="W1257" s="6"/>
      <c r="X1257" s="2"/>
      <c r="Y1257" s="2"/>
      <c r="Z1257" s="2"/>
      <c r="AA1257" s="2"/>
    </row>
    <row r="1258" spans="1:27" s="1" customFormat="1">
      <c r="A1258"/>
      <c r="B1258"/>
      <c r="C1258"/>
      <c r="D1258"/>
      <c r="E1258"/>
      <c r="F1258"/>
      <c r="G1258"/>
      <c r="H1258"/>
      <c r="I1258"/>
      <c r="J1258" s="3"/>
      <c r="K1258" s="11"/>
      <c r="L1258" s="10"/>
      <c r="M1258" s="10"/>
      <c r="N1258" s="9"/>
      <c r="O1258" s="6"/>
      <c r="P1258" s="8"/>
      <c r="Q1258" s="6"/>
      <c r="R1258" s="8"/>
      <c r="S1258" s="6"/>
      <c r="T1258" s="8"/>
      <c r="U1258" s="7"/>
      <c r="V1258" s="7"/>
      <c r="W1258" s="6"/>
      <c r="X1258" s="2"/>
      <c r="Y1258" s="2"/>
      <c r="Z1258" s="2"/>
      <c r="AA1258" s="2"/>
    </row>
    <row r="1259" spans="1:27" s="1" customFormat="1">
      <c r="A1259"/>
      <c r="B1259"/>
      <c r="C1259"/>
      <c r="D1259"/>
      <c r="E1259"/>
      <c r="F1259"/>
      <c r="G1259"/>
      <c r="H1259"/>
      <c r="I1259"/>
      <c r="J1259" s="3"/>
      <c r="K1259" s="2"/>
      <c r="L1259" s="10"/>
      <c r="M1259" s="10"/>
      <c r="N1259" s="9"/>
      <c r="O1259" s="6"/>
      <c r="P1259" s="8"/>
      <c r="Q1259" s="6"/>
      <c r="R1259" s="8"/>
      <c r="S1259" s="6"/>
      <c r="T1259" s="8"/>
      <c r="U1259" s="7"/>
      <c r="V1259" s="7"/>
      <c r="W1259" s="6"/>
      <c r="X1259" s="2"/>
      <c r="Y1259" s="2"/>
      <c r="Z1259" s="2"/>
      <c r="AA1259" s="2"/>
    </row>
    <row r="1260" spans="1:27" s="1" customFormat="1">
      <c r="A1260"/>
      <c r="B1260"/>
      <c r="C1260"/>
      <c r="D1260"/>
      <c r="E1260"/>
      <c r="F1260"/>
      <c r="G1260"/>
      <c r="H1260"/>
      <c r="I1260"/>
      <c r="J1260" s="3"/>
      <c r="K1260" s="2"/>
      <c r="L1260" s="10"/>
      <c r="M1260" s="10"/>
      <c r="N1260" s="9"/>
      <c r="O1260" s="6"/>
      <c r="P1260" s="8"/>
      <c r="Q1260" s="6"/>
      <c r="R1260" s="8"/>
      <c r="S1260" s="6"/>
      <c r="T1260" s="8"/>
      <c r="U1260" s="7"/>
      <c r="V1260" s="7"/>
      <c r="W1260" s="6"/>
      <c r="X1260" s="2"/>
      <c r="Y1260" s="2"/>
      <c r="Z1260" s="2"/>
      <c r="AA1260" s="2"/>
    </row>
    <row r="1261" spans="1:27" s="1" customFormat="1">
      <c r="A1261"/>
      <c r="B1261"/>
      <c r="C1261"/>
      <c r="D1261"/>
      <c r="E1261"/>
      <c r="F1261"/>
      <c r="G1261"/>
      <c r="H1261"/>
      <c r="I1261"/>
      <c r="J1261" s="3"/>
      <c r="K1261" s="2"/>
      <c r="L1261" s="2"/>
      <c r="M1261" s="2"/>
      <c r="N1261" s="2"/>
      <c r="O1261" s="6"/>
      <c r="P1261" s="8"/>
      <c r="Q1261" s="6"/>
      <c r="R1261" s="8"/>
      <c r="S1261" s="6"/>
      <c r="T1261" s="8"/>
      <c r="U1261" s="7"/>
      <c r="V1261" s="7"/>
      <c r="W1261" s="6"/>
      <c r="X1261" s="2"/>
      <c r="Y1261" s="2"/>
      <c r="Z1261" s="2"/>
      <c r="AA1261" s="2"/>
    </row>
    <row r="1262" spans="1:27" s="1" customFormat="1">
      <c r="A1262"/>
      <c r="B1262"/>
      <c r="C1262"/>
      <c r="D1262"/>
      <c r="E1262"/>
      <c r="F1262"/>
      <c r="G1262"/>
      <c r="H1262"/>
      <c r="I1262"/>
      <c r="J1262" s="3"/>
      <c r="K1262" s="2"/>
      <c r="L1262" s="2"/>
      <c r="M1262" s="2"/>
      <c r="N1262" s="2"/>
      <c r="O1262" s="5"/>
      <c r="P1262" s="4"/>
      <c r="Q1262" s="2"/>
      <c r="R1262" s="2"/>
      <c r="S1262" s="2"/>
      <c r="T1262" s="2"/>
      <c r="U1262" s="2"/>
      <c r="V1262" s="2"/>
      <c r="W1262" s="2"/>
      <c r="X1262" s="2"/>
      <c r="Y1262" s="2"/>
      <c r="Z1262" s="2"/>
      <c r="AA1262" s="2"/>
    </row>
    <row r="1263" spans="1:27" s="1" customFormat="1">
      <c r="A1263"/>
      <c r="B1263"/>
      <c r="C1263"/>
      <c r="D1263"/>
      <c r="E1263"/>
      <c r="F1263"/>
      <c r="G1263"/>
      <c r="H1263"/>
      <c r="I1263"/>
      <c r="J1263" s="3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  <c r="AA1263" s="2"/>
    </row>
    <row r="1264" spans="1:27" s="1" customFormat="1">
      <c r="A1264"/>
      <c r="B1264"/>
      <c r="C1264"/>
      <c r="D1264"/>
      <c r="E1264"/>
      <c r="F1264"/>
      <c r="G1264"/>
      <c r="H1264"/>
      <c r="I1264"/>
      <c r="J1264" s="3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  <c r="AA1264" s="2"/>
    </row>
    <row r="1265" spans="1:27" s="1" customFormat="1">
      <c r="A1265"/>
      <c r="B1265"/>
      <c r="C1265"/>
      <c r="D1265"/>
      <c r="E1265"/>
      <c r="F1265"/>
      <c r="G1265"/>
      <c r="H1265"/>
      <c r="I1265"/>
      <c r="J1265" s="3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  <c r="X1265" s="2"/>
      <c r="Y1265" s="2"/>
      <c r="Z1265" s="2"/>
      <c r="AA1265" s="2"/>
    </row>
    <row r="1266" spans="1:27" s="1" customFormat="1">
      <c r="A1266"/>
      <c r="B1266"/>
      <c r="C1266"/>
      <c r="D1266"/>
      <c r="E1266"/>
      <c r="F1266"/>
      <c r="G1266"/>
      <c r="H1266"/>
      <c r="I1266"/>
      <c r="J1266" s="3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  <c r="AA1266" s="2"/>
    </row>
    <row r="1267" spans="1:27" s="1" customFormat="1">
      <c r="A1267"/>
      <c r="B1267"/>
      <c r="C1267"/>
      <c r="D1267"/>
      <c r="E1267"/>
      <c r="F1267"/>
      <c r="G1267"/>
      <c r="H1267"/>
      <c r="I1267"/>
      <c r="J1267" s="3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  <c r="X1267" s="2"/>
      <c r="Y1267" s="2"/>
      <c r="Z1267" s="2"/>
      <c r="AA1267" s="2"/>
    </row>
    <row r="1268" spans="1:27" s="1" customFormat="1">
      <c r="A1268"/>
      <c r="B1268"/>
      <c r="C1268"/>
      <c r="D1268"/>
      <c r="E1268"/>
      <c r="F1268"/>
      <c r="G1268"/>
      <c r="H1268"/>
      <c r="I1268"/>
      <c r="J1268" s="3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  <c r="X1268" s="2"/>
      <c r="Y1268" s="2"/>
      <c r="Z1268" s="2"/>
      <c r="AA1268" s="2"/>
    </row>
    <row r="1269" spans="1:27" s="1" customFormat="1">
      <c r="A1269"/>
      <c r="B1269"/>
      <c r="C1269"/>
      <c r="D1269"/>
      <c r="E1269"/>
      <c r="F1269"/>
      <c r="G1269"/>
      <c r="H1269"/>
      <c r="I1269"/>
      <c r="J1269" s="3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  <c r="X1269" s="2"/>
      <c r="Y1269" s="2"/>
      <c r="Z1269" s="2"/>
      <c r="AA1269" s="2"/>
    </row>
    <row r="1270" spans="1:27" s="1" customFormat="1">
      <c r="A1270"/>
      <c r="B1270"/>
      <c r="C1270"/>
      <c r="D1270"/>
      <c r="E1270"/>
      <c r="F1270"/>
      <c r="G1270"/>
      <c r="H1270"/>
      <c r="I1270"/>
      <c r="J1270" s="3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  <c r="X1270" s="2"/>
      <c r="Y1270" s="2"/>
      <c r="Z1270" s="2"/>
      <c r="AA1270" s="2"/>
    </row>
    <row r="1271" spans="1:27" s="1" customFormat="1">
      <c r="A1271"/>
      <c r="B1271"/>
      <c r="C1271"/>
      <c r="D1271"/>
      <c r="E1271"/>
      <c r="F1271"/>
      <c r="G1271"/>
      <c r="H1271"/>
      <c r="I1271"/>
      <c r="J1271" s="3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  <c r="X1271" s="2"/>
      <c r="Y1271" s="2"/>
      <c r="Z1271" s="2"/>
      <c r="AA1271" s="2"/>
    </row>
    <row r="1272" spans="1:27" s="1" customFormat="1">
      <c r="A1272"/>
      <c r="B1272"/>
      <c r="C1272"/>
      <c r="D1272"/>
      <c r="E1272"/>
      <c r="F1272"/>
      <c r="G1272"/>
      <c r="H1272"/>
      <c r="I1272"/>
      <c r="J1272" s="3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  <c r="X1272" s="2"/>
      <c r="Y1272" s="2"/>
      <c r="Z1272" s="2"/>
      <c r="AA1272" s="2"/>
    </row>
    <row r="1273" spans="1:27" s="1" customFormat="1">
      <c r="A1273"/>
      <c r="B1273"/>
      <c r="C1273"/>
      <c r="D1273"/>
      <c r="E1273"/>
      <c r="F1273"/>
      <c r="G1273"/>
      <c r="H1273"/>
      <c r="I1273"/>
      <c r="J1273" s="3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  <c r="X1273" s="2"/>
      <c r="Y1273" s="2"/>
      <c r="Z1273" s="2"/>
      <c r="AA1273" s="2"/>
    </row>
    <row r="1274" spans="1:27" s="1" customFormat="1">
      <c r="A1274"/>
      <c r="B1274"/>
      <c r="C1274"/>
      <c r="D1274"/>
      <c r="E1274"/>
      <c r="F1274"/>
      <c r="G1274"/>
      <c r="H1274"/>
      <c r="I1274"/>
      <c r="J1274" s="3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  <c r="X1274" s="2"/>
      <c r="Y1274" s="2"/>
      <c r="Z1274" s="2"/>
      <c r="AA1274" s="2"/>
    </row>
    <row r="1275" spans="1:27" s="1" customFormat="1">
      <c r="A1275"/>
      <c r="B1275"/>
      <c r="C1275"/>
      <c r="D1275"/>
      <c r="E1275"/>
      <c r="F1275"/>
      <c r="G1275"/>
      <c r="H1275"/>
      <c r="I1275"/>
      <c r="J1275" s="3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  <c r="X1275" s="2"/>
      <c r="Y1275" s="2"/>
      <c r="Z1275" s="2"/>
      <c r="AA1275" s="2"/>
    </row>
    <row r="1276" spans="1:27" s="1" customFormat="1">
      <c r="A1276"/>
      <c r="B1276"/>
      <c r="C1276"/>
      <c r="D1276"/>
      <c r="E1276"/>
      <c r="F1276"/>
      <c r="G1276"/>
      <c r="H1276"/>
      <c r="I1276"/>
      <c r="J1276" s="3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  <c r="X1276" s="2"/>
      <c r="Y1276" s="2"/>
      <c r="Z1276" s="2"/>
      <c r="AA1276" s="2"/>
    </row>
    <row r="1277" spans="1:27" s="1" customFormat="1">
      <c r="A1277"/>
      <c r="B1277"/>
      <c r="C1277"/>
      <c r="D1277"/>
      <c r="E1277"/>
      <c r="F1277"/>
      <c r="G1277"/>
      <c r="H1277"/>
      <c r="I1277"/>
      <c r="J1277" s="3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  <c r="X1277" s="2"/>
      <c r="Y1277" s="2"/>
      <c r="Z1277" s="2"/>
      <c r="AA1277" s="2"/>
    </row>
    <row r="1278" spans="1:27" s="1" customFormat="1">
      <c r="A1278"/>
      <c r="B1278"/>
      <c r="C1278"/>
      <c r="D1278"/>
      <c r="E1278"/>
      <c r="F1278"/>
      <c r="G1278"/>
      <c r="H1278"/>
      <c r="I1278"/>
      <c r="J1278" s="3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  <c r="X1278" s="2"/>
      <c r="Y1278" s="2"/>
      <c r="Z1278" s="2"/>
      <c r="AA1278" s="2"/>
    </row>
    <row r="1279" spans="1:27" s="1" customFormat="1">
      <c r="A1279"/>
      <c r="B1279"/>
      <c r="C1279"/>
      <c r="D1279"/>
      <c r="E1279"/>
      <c r="F1279"/>
      <c r="G1279"/>
      <c r="H1279"/>
      <c r="I1279"/>
      <c r="J1279" s="3"/>
      <c r="K1279" s="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2"/>
      <c r="W1279" s="12"/>
      <c r="X1279" s="2"/>
      <c r="Y1279" s="2"/>
      <c r="Z1279" s="2"/>
      <c r="AA1279" s="2"/>
    </row>
    <row r="1280" spans="1:27" s="1" customFormat="1">
      <c r="A1280"/>
      <c r="B1280"/>
      <c r="C1280"/>
      <c r="D1280"/>
      <c r="E1280"/>
      <c r="F1280"/>
      <c r="G1280"/>
      <c r="H1280"/>
      <c r="I1280"/>
      <c r="J1280" s="3"/>
      <c r="K1280" s="2"/>
      <c r="L1280" s="14"/>
      <c r="M1280" s="14"/>
      <c r="N1280" s="14"/>
      <c r="O1280" s="12"/>
      <c r="P1280" s="12"/>
      <c r="Q1280" s="12"/>
      <c r="R1280" s="14"/>
      <c r="S1280" s="14"/>
      <c r="T1280" s="12"/>
      <c r="U1280" s="2"/>
      <c r="V1280" s="12"/>
      <c r="W1280" s="2"/>
      <c r="X1280" s="2"/>
      <c r="Y1280" s="2"/>
      <c r="Z1280" s="2"/>
      <c r="AA1280" s="2"/>
    </row>
    <row r="1281" spans="1:27" s="1" customFormat="1">
      <c r="A1281"/>
      <c r="B1281"/>
      <c r="C1281"/>
      <c r="D1281"/>
      <c r="E1281"/>
      <c r="F1281"/>
      <c r="G1281"/>
      <c r="H1281"/>
      <c r="I1281"/>
      <c r="K1281" s="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3"/>
      <c r="V1281" s="13"/>
      <c r="W1281" s="12"/>
      <c r="X1281" s="2"/>
      <c r="Y1281" s="2"/>
      <c r="Z1281" s="2"/>
      <c r="AA1281" s="2"/>
    </row>
    <row r="1282" spans="1:27" s="1" customFormat="1">
      <c r="A1282"/>
      <c r="B1282"/>
      <c r="C1282"/>
      <c r="D1282"/>
      <c r="E1282"/>
      <c r="F1282"/>
      <c r="G1282"/>
      <c r="H1282"/>
      <c r="I1282"/>
      <c r="K1282" s="2"/>
      <c r="L1282" s="10"/>
      <c r="M1282" s="10"/>
      <c r="N1282" s="9"/>
      <c r="O1282" s="6"/>
      <c r="P1282" s="8"/>
      <c r="Q1282" s="6"/>
      <c r="R1282" s="8"/>
      <c r="S1282" s="6"/>
      <c r="T1282" s="8"/>
      <c r="U1282" s="7"/>
      <c r="V1282" s="7"/>
      <c r="W1282" s="6"/>
      <c r="X1282" s="2"/>
      <c r="Y1282" s="2"/>
      <c r="Z1282" s="2"/>
      <c r="AA1282" s="2"/>
    </row>
    <row r="1283" spans="1:27" s="1" customFormat="1">
      <c r="A1283"/>
      <c r="B1283"/>
      <c r="C1283"/>
      <c r="D1283"/>
      <c r="E1283"/>
      <c r="F1283"/>
      <c r="G1283"/>
      <c r="H1283"/>
      <c r="I1283"/>
      <c r="K1283" s="11"/>
      <c r="L1283" s="10"/>
      <c r="M1283" s="10"/>
      <c r="N1283" s="9"/>
      <c r="O1283" s="6"/>
      <c r="P1283" s="8"/>
      <c r="Q1283" s="6"/>
      <c r="R1283" s="8"/>
      <c r="S1283" s="6"/>
      <c r="T1283" s="8"/>
      <c r="U1283" s="7"/>
      <c r="V1283" s="7"/>
      <c r="W1283" s="6"/>
      <c r="X1283" s="2"/>
      <c r="Y1283" s="2"/>
      <c r="Z1283" s="2"/>
      <c r="AA1283" s="2"/>
    </row>
    <row r="1284" spans="1:27" s="1" customFormat="1">
      <c r="A1284"/>
      <c r="B1284"/>
      <c r="C1284"/>
      <c r="D1284"/>
      <c r="E1284"/>
      <c r="F1284"/>
      <c r="G1284"/>
      <c r="H1284"/>
      <c r="I1284"/>
      <c r="K1284" s="2"/>
      <c r="L1284" s="10"/>
      <c r="M1284" s="10"/>
      <c r="N1284" s="9"/>
      <c r="O1284" s="6"/>
      <c r="P1284" s="8"/>
      <c r="Q1284" s="6"/>
      <c r="R1284" s="8"/>
      <c r="S1284" s="6"/>
      <c r="T1284" s="8"/>
      <c r="U1284" s="7"/>
      <c r="V1284" s="7"/>
      <c r="W1284" s="6"/>
      <c r="X1284" s="2"/>
      <c r="Y1284" s="2"/>
      <c r="Z1284" s="2"/>
      <c r="AA1284" s="2"/>
    </row>
    <row r="1285" spans="1:27" s="1" customFormat="1">
      <c r="A1285"/>
      <c r="B1285"/>
      <c r="C1285"/>
      <c r="D1285"/>
      <c r="E1285"/>
      <c r="F1285"/>
      <c r="G1285"/>
      <c r="H1285"/>
      <c r="I1285"/>
      <c r="K1285" s="2"/>
      <c r="L1285" s="10"/>
      <c r="M1285" s="10"/>
      <c r="N1285" s="9"/>
      <c r="O1285" s="6"/>
      <c r="P1285" s="8"/>
      <c r="Q1285" s="6"/>
      <c r="R1285" s="8"/>
      <c r="S1285" s="6"/>
      <c r="T1285" s="8"/>
      <c r="U1285" s="7"/>
      <c r="V1285" s="7"/>
      <c r="W1285" s="6"/>
      <c r="X1285" s="2"/>
      <c r="Y1285" s="2"/>
      <c r="Z1285" s="2"/>
      <c r="AA1285" s="2"/>
    </row>
    <row r="1286" spans="1:27" s="1" customFormat="1">
      <c r="A1286"/>
      <c r="B1286"/>
      <c r="C1286"/>
      <c r="D1286"/>
      <c r="E1286"/>
      <c r="F1286"/>
      <c r="G1286"/>
      <c r="H1286"/>
      <c r="I1286"/>
      <c r="K1286" s="2"/>
      <c r="L1286" s="2"/>
      <c r="M1286" s="2"/>
      <c r="N1286" s="2"/>
      <c r="O1286" s="6"/>
      <c r="P1286" s="8"/>
      <c r="Q1286" s="6"/>
      <c r="R1286" s="8"/>
      <c r="S1286" s="6"/>
      <c r="T1286" s="8"/>
      <c r="U1286" s="7"/>
      <c r="V1286" s="7"/>
      <c r="W1286" s="6"/>
      <c r="X1286" s="2"/>
      <c r="Y1286" s="2"/>
      <c r="Z1286" s="2"/>
      <c r="AA1286" s="2"/>
    </row>
    <row r="1287" spans="1:27" s="1" customFormat="1">
      <c r="A1287"/>
      <c r="B1287"/>
      <c r="C1287"/>
      <c r="D1287"/>
      <c r="E1287"/>
      <c r="F1287"/>
      <c r="G1287"/>
      <c r="H1287"/>
      <c r="I1287"/>
      <c r="K1287" s="2"/>
      <c r="L1287" s="2"/>
      <c r="M1287" s="2"/>
      <c r="N1287" s="2"/>
      <c r="O1287" s="5"/>
      <c r="P1287" s="4"/>
      <c r="Q1287" s="2"/>
      <c r="R1287" s="2"/>
      <c r="S1287" s="2"/>
      <c r="T1287" s="2"/>
      <c r="U1287" s="2"/>
      <c r="V1287" s="2"/>
      <c r="W1287" s="2"/>
      <c r="X1287" s="2"/>
      <c r="Y1287" s="2"/>
      <c r="Z1287" s="2"/>
      <c r="AA1287" s="2"/>
    </row>
    <row r="1288" spans="1:27" s="1" customFormat="1">
      <c r="A1288"/>
      <c r="B1288"/>
      <c r="C1288"/>
      <c r="D1288"/>
      <c r="E1288"/>
      <c r="F1288"/>
      <c r="G1288"/>
      <c r="H1288"/>
      <c r="I1288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  <c r="X1288" s="2"/>
      <c r="Y1288" s="2"/>
      <c r="Z1288" s="2"/>
      <c r="AA1288" s="2"/>
    </row>
    <row r="1289" spans="1:27" s="1" customFormat="1">
      <c r="A1289"/>
      <c r="B1289"/>
      <c r="C1289"/>
      <c r="D1289"/>
      <c r="E1289"/>
      <c r="F1289"/>
      <c r="G1289"/>
      <c r="H1289"/>
      <c r="I1289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  <c r="X1289" s="2"/>
      <c r="Y1289" s="2"/>
      <c r="Z1289" s="2"/>
      <c r="AA1289" s="2"/>
    </row>
    <row r="1290" spans="1:27" s="1" customFormat="1">
      <c r="A1290"/>
      <c r="B1290"/>
      <c r="C1290"/>
      <c r="D1290"/>
      <c r="E1290"/>
      <c r="F1290"/>
      <c r="G1290"/>
      <c r="H1290"/>
      <c r="I1290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  <c r="X1290" s="2"/>
      <c r="Y1290" s="2"/>
      <c r="Z1290" s="2"/>
      <c r="AA1290" s="2"/>
    </row>
    <row r="1291" spans="1:27" s="1" customFormat="1">
      <c r="A1291"/>
      <c r="B1291"/>
      <c r="C1291"/>
      <c r="D1291"/>
      <c r="E1291"/>
      <c r="F1291"/>
      <c r="G1291"/>
      <c r="H1291"/>
      <c r="I1291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  <c r="X1291" s="2"/>
      <c r="Y1291" s="2"/>
      <c r="Z1291" s="2"/>
      <c r="AA1291" s="2"/>
    </row>
    <row r="1292" spans="1:27" s="1" customFormat="1">
      <c r="A1292"/>
      <c r="B1292"/>
      <c r="C1292"/>
      <c r="D1292"/>
      <c r="E1292"/>
      <c r="F1292"/>
      <c r="G1292"/>
      <c r="H1292"/>
      <c r="I129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  <c r="X1292" s="2"/>
      <c r="Y1292" s="2"/>
      <c r="Z1292" s="2"/>
      <c r="AA1292" s="2"/>
    </row>
    <row r="1293" spans="1:27" s="1" customFormat="1">
      <c r="A1293"/>
      <c r="B1293"/>
      <c r="C1293"/>
      <c r="D1293"/>
      <c r="E1293"/>
      <c r="F1293"/>
      <c r="G1293"/>
      <c r="H1293"/>
      <c r="I1293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  <c r="X1293" s="2"/>
      <c r="Y1293" s="2"/>
      <c r="Z1293" s="2"/>
      <c r="AA1293" s="2"/>
    </row>
    <row r="1294" spans="1:27" s="1" customFormat="1">
      <c r="A1294"/>
      <c r="B1294"/>
      <c r="C1294"/>
      <c r="D1294"/>
      <c r="E1294"/>
      <c r="F1294"/>
      <c r="G1294"/>
      <c r="H1294"/>
      <c r="I1294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  <c r="X1294" s="2"/>
      <c r="Y1294" s="2"/>
      <c r="Z1294" s="2"/>
      <c r="AA1294" s="2"/>
    </row>
    <row r="1295" spans="1:27" s="1" customFormat="1">
      <c r="A1295"/>
      <c r="B1295"/>
      <c r="C1295"/>
      <c r="D1295"/>
      <c r="E1295"/>
      <c r="F1295"/>
      <c r="G1295"/>
      <c r="H1295"/>
      <c r="I1295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  <c r="X1295" s="2"/>
      <c r="Y1295" s="2"/>
      <c r="Z1295" s="2"/>
      <c r="AA1295" s="2"/>
    </row>
    <row r="1296" spans="1:27" s="1" customFormat="1">
      <c r="A1296"/>
      <c r="B1296"/>
      <c r="C1296"/>
      <c r="D1296"/>
      <c r="E1296"/>
      <c r="F1296"/>
      <c r="G1296"/>
      <c r="H1296"/>
      <c r="I1296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  <c r="X1296" s="2"/>
      <c r="Y1296" s="2"/>
      <c r="Z1296" s="2"/>
      <c r="AA1296" s="2"/>
    </row>
    <row r="1297" spans="1:27" s="1" customFormat="1">
      <c r="A1297"/>
      <c r="B1297"/>
      <c r="C1297"/>
      <c r="D1297"/>
      <c r="E1297"/>
      <c r="F1297"/>
      <c r="G1297"/>
      <c r="H1297"/>
      <c r="I1297"/>
      <c r="J1297" s="3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  <c r="X1297" s="2"/>
      <c r="Y1297" s="2"/>
      <c r="Z1297" s="2"/>
      <c r="AA1297" s="2"/>
    </row>
    <row r="1298" spans="1:27" s="1" customFormat="1">
      <c r="A1298"/>
      <c r="B1298"/>
      <c r="C1298"/>
      <c r="D1298"/>
      <c r="E1298"/>
      <c r="F1298"/>
      <c r="G1298"/>
      <c r="H1298"/>
      <c r="I1298"/>
      <c r="J1298" s="3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  <c r="X1298" s="2"/>
      <c r="Y1298" s="2"/>
      <c r="Z1298" s="2"/>
      <c r="AA1298" s="2"/>
    </row>
    <row r="1299" spans="1:27" s="1" customFormat="1">
      <c r="A1299"/>
      <c r="B1299"/>
      <c r="C1299"/>
      <c r="D1299"/>
      <c r="E1299"/>
      <c r="F1299"/>
      <c r="G1299"/>
      <c r="H1299"/>
      <c r="I1299"/>
      <c r="J1299" s="3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  <c r="X1299" s="2"/>
      <c r="Y1299" s="2"/>
      <c r="Z1299" s="2"/>
      <c r="AA1299" s="2"/>
    </row>
    <row r="1300" spans="1:27" s="1" customFormat="1">
      <c r="A1300"/>
      <c r="B1300"/>
      <c r="C1300"/>
      <c r="D1300"/>
      <c r="E1300"/>
      <c r="F1300"/>
      <c r="G1300"/>
      <c r="H1300"/>
      <c r="I1300"/>
      <c r="J1300" s="3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  <c r="X1300" s="2"/>
      <c r="Y1300" s="2"/>
      <c r="Z1300" s="2"/>
      <c r="AA1300" s="2"/>
    </row>
    <row r="1301" spans="1:27" s="1" customFormat="1">
      <c r="A1301"/>
      <c r="B1301"/>
      <c r="C1301"/>
      <c r="D1301"/>
      <c r="E1301"/>
      <c r="F1301"/>
      <c r="G1301"/>
      <c r="H1301"/>
      <c r="I1301"/>
      <c r="J1301" s="3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  <c r="X1301" s="2"/>
      <c r="Y1301" s="2"/>
      <c r="Z1301" s="2"/>
      <c r="AA1301" s="2"/>
    </row>
    <row r="1302" spans="1:27" s="1" customFormat="1">
      <c r="A1302"/>
      <c r="B1302"/>
      <c r="C1302"/>
      <c r="D1302"/>
      <c r="E1302"/>
      <c r="F1302"/>
      <c r="G1302"/>
      <c r="H1302"/>
      <c r="I1302"/>
      <c r="J1302" s="3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  <c r="AA1302" s="2"/>
    </row>
    <row r="1303" spans="1:27" s="1" customFormat="1">
      <c r="A1303"/>
      <c r="B1303"/>
      <c r="C1303"/>
      <c r="D1303"/>
      <c r="E1303"/>
      <c r="F1303"/>
      <c r="G1303"/>
      <c r="H1303"/>
      <c r="I1303"/>
      <c r="J1303" s="3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  <c r="X1303" s="2"/>
      <c r="Y1303" s="2"/>
      <c r="Z1303" s="2"/>
      <c r="AA1303" s="2"/>
    </row>
    <row r="1304" spans="1:27" s="1" customFormat="1">
      <c r="A1304"/>
      <c r="B1304"/>
      <c r="C1304"/>
      <c r="D1304"/>
      <c r="E1304"/>
      <c r="F1304"/>
      <c r="G1304"/>
      <c r="H1304"/>
      <c r="I1304"/>
      <c r="J1304" s="3"/>
      <c r="K1304" s="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2"/>
      <c r="W1304" s="12"/>
      <c r="X1304" s="2"/>
      <c r="Y1304" s="2"/>
      <c r="Z1304" s="2"/>
      <c r="AA1304" s="2"/>
    </row>
    <row r="1305" spans="1:27" s="1" customFormat="1">
      <c r="A1305"/>
      <c r="B1305"/>
      <c r="C1305"/>
      <c r="D1305"/>
      <c r="E1305"/>
      <c r="F1305"/>
      <c r="G1305"/>
      <c r="H1305"/>
      <c r="I1305"/>
      <c r="J1305" s="3"/>
      <c r="K1305" s="2"/>
      <c r="L1305" s="14"/>
      <c r="M1305" s="14"/>
      <c r="N1305" s="14"/>
      <c r="O1305" s="12"/>
      <c r="P1305" s="12"/>
      <c r="Q1305" s="12"/>
      <c r="R1305" s="14"/>
      <c r="S1305" s="14"/>
      <c r="T1305" s="12"/>
      <c r="U1305" s="2"/>
      <c r="V1305" s="12"/>
      <c r="W1305" s="2"/>
      <c r="X1305" s="2"/>
      <c r="Y1305" s="2"/>
      <c r="Z1305" s="2"/>
      <c r="AA1305" s="2"/>
    </row>
    <row r="1306" spans="1:27" s="1" customFormat="1">
      <c r="A1306"/>
      <c r="B1306"/>
      <c r="C1306"/>
      <c r="D1306"/>
      <c r="E1306"/>
      <c r="F1306"/>
      <c r="G1306"/>
      <c r="H1306"/>
      <c r="I1306"/>
      <c r="J1306" s="3"/>
      <c r="K1306" s="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3"/>
      <c r="V1306" s="13"/>
      <c r="W1306" s="12"/>
      <c r="X1306" s="2"/>
      <c r="Y1306" s="2"/>
      <c r="Z1306" s="2"/>
      <c r="AA1306" s="2"/>
    </row>
    <row r="1307" spans="1:27" s="1" customFormat="1">
      <c r="A1307"/>
      <c r="B1307"/>
      <c r="C1307"/>
      <c r="D1307"/>
      <c r="E1307"/>
      <c r="F1307"/>
      <c r="G1307"/>
      <c r="H1307"/>
      <c r="I1307"/>
      <c r="J1307" s="3"/>
      <c r="K1307" s="2"/>
      <c r="L1307" s="10"/>
      <c r="M1307" s="10"/>
      <c r="N1307" s="9"/>
      <c r="O1307" s="6"/>
      <c r="P1307" s="8"/>
      <c r="Q1307" s="6"/>
      <c r="R1307" s="8"/>
      <c r="S1307" s="6"/>
      <c r="T1307" s="8"/>
      <c r="U1307" s="7"/>
      <c r="V1307" s="7"/>
      <c r="W1307" s="6"/>
      <c r="X1307" s="2"/>
      <c r="Y1307" s="2"/>
      <c r="Z1307" s="2"/>
      <c r="AA1307" s="2"/>
    </row>
    <row r="1308" spans="1:27" s="1" customFormat="1">
      <c r="A1308"/>
      <c r="B1308"/>
      <c r="C1308"/>
      <c r="D1308"/>
      <c r="E1308"/>
      <c r="F1308"/>
      <c r="G1308"/>
      <c r="H1308"/>
      <c r="I1308"/>
      <c r="J1308" s="3"/>
      <c r="K1308" s="11"/>
      <c r="L1308" s="10"/>
      <c r="M1308" s="10"/>
      <c r="N1308" s="9"/>
      <c r="O1308" s="6"/>
      <c r="P1308" s="8"/>
      <c r="Q1308" s="6"/>
      <c r="R1308" s="8"/>
      <c r="S1308" s="6"/>
      <c r="T1308" s="8"/>
      <c r="U1308" s="7"/>
      <c r="V1308" s="7"/>
      <c r="W1308" s="6"/>
      <c r="X1308" s="2"/>
      <c r="Y1308" s="2"/>
      <c r="Z1308" s="2"/>
      <c r="AA1308" s="2"/>
    </row>
    <row r="1309" spans="1:27" s="1" customFormat="1">
      <c r="A1309"/>
      <c r="B1309"/>
      <c r="C1309"/>
      <c r="D1309"/>
      <c r="E1309"/>
      <c r="F1309"/>
      <c r="G1309"/>
      <c r="H1309"/>
      <c r="I1309"/>
      <c r="J1309" s="3"/>
      <c r="K1309" s="2"/>
      <c r="L1309" s="10"/>
      <c r="M1309" s="10"/>
      <c r="N1309" s="9"/>
      <c r="O1309" s="6"/>
      <c r="P1309" s="8"/>
      <c r="Q1309" s="6"/>
      <c r="R1309" s="8"/>
      <c r="S1309" s="6"/>
      <c r="T1309" s="8"/>
      <c r="U1309" s="7"/>
      <c r="V1309" s="7"/>
      <c r="W1309" s="6"/>
      <c r="X1309" s="2"/>
      <c r="Y1309" s="2"/>
      <c r="Z1309" s="2"/>
      <c r="AA1309" s="2"/>
    </row>
    <row r="1310" spans="1:27" s="1" customFormat="1">
      <c r="A1310"/>
      <c r="B1310"/>
      <c r="C1310"/>
      <c r="D1310"/>
      <c r="E1310"/>
      <c r="F1310"/>
      <c r="G1310"/>
      <c r="H1310"/>
      <c r="I1310"/>
      <c r="J1310" s="3"/>
      <c r="K1310" s="2"/>
      <c r="L1310" s="10"/>
      <c r="M1310" s="10"/>
      <c r="N1310" s="9"/>
      <c r="O1310" s="6"/>
      <c r="P1310" s="8"/>
      <c r="Q1310" s="6"/>
      <c r="R1310" s="8"/>
      <c r="S1310" s="6"/>
      <c r="T1310" s="8"/>
      <c r="U1310" s="7"/>
      <c r="V1310" s="7"/>
      <c r="W1310" s="6"/>
      <c r="X1310" s="2"/>
      <c r="Y1310" s="2"/>
      <c r="Z1310" s="2"/>
      <c r="AA1310" s="2"/>
    </row>
    <row r="1311" spans="1:27" s="1" customFormat="1">
      <c r="A1311"/>
      <c r="B1311"/>
      <c r="C1311"/>
      <c r="D1311"/>
      <c r="E1311"/>
      <c r="F1311"/>
      <c r="G1311"/>
      <c r="H1311"/>
      <c r="I1311"/>
      <c r="J1311" s="3"/>
      <c r="K1311" s="2"/>
      <c r="L1311" s="2"/>
      <c r="M1311" s="2"/>
      <c r="N1311" s="2"/>
      <c r="O1311" s="6"/>
      <c r="P1311" s="8"/>
      <c r="Q1311" s="6"/>
      <c r="R1311" s="8"/>
      <c r="S1311" s="6"/>
      <c r="T1311" s="8"/>
      <c r="U1311" s="7"/>
      <c r="V1311" s="7"/>
      <c r="W1311" s="6"/>
      <c r="X1311" s="2"/>
      <c r="Y1311" s="2"/>
      <c r="Z1311" s="2"/>
      <c r="AA1311" s="2"/>
    </row>
    <row r="1312" spans="1:27" s="1" customFormat="1">
      <c r="A1312"/>
      <c r="B1312"/>
      <c r="C1312"/>
      <c r="D1312"/>
      <c r="E1312"/>
      <c r="F1312"/>
      <c r="G1312"/>
      <c r="H1312"/>
      <c r="I1312"/>
      <c r="J1312" s="3"/>
      <c r="K1312" s="2"/>
      <c r="L1312" s="2"/>
      <c r="M1312" s="2"/>
      <c r="N1312" s="2"/>
      <c r="O1312" s="5"/>
      <c r="P1312" s="4"/>
      <c r="Q1312" s="2"/>
      <c r="R1312" s="2"/>
      <c r="S1312" s="2"/>
      <c r="T1312" s="2"/>
      <c r="U1312" s="2"/>
      <c r="V1312" s="2"/>
      <c r="W1312" s="2"/>
      <c r="X1312" s="2"/>
      <c r="Y1312" s="2"/>
      <c r="Z1312" s="2"/>
      <c r="AA1312" s="2"/>
    </row>
    <row r="1313" spans="1:27" s="1" customFormat="1">
      <c r="A1313"/>
      <c r="B1313"/>
      <c r="C1313"/>
      <c r="D1313"/>
      <c r="E1313"/>
      <c r="F1313"/>
      <c r="G1313"/>
      <c r="H1313"/>
      <c r="I1313"/>
      <c r="J1313" s="3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  <c r="X1313" s="2"/>
      <c r="Y1313" s="2"/>
      <c r="Z1313" s="2"/>
      <c r="AA1313" s="2"/>
    </row>
    <row r="1314" spans="1:27" s="1" customFormat="1">
      <c r="A1314"/>
      <c r="B1314"/>
      <c r="C1314"/>
      <c r="D1314"/>
      <c r="E1314"/>
      <c r="F1314"/>
      <c r="G1314"/>
      <c r="H1314"/>
      <c r="I1314"/>
      <c r="J1314" s="3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  <c r="X1314" s="2"/>
      <c r="Y1314" s="2"/>
      <c r="Z1314" s="2"/>
      <c r="AA1314" s="2"/>
    </row>
    <row r="1315" spans="1:27" s="1" customFormat="1">
      <c r="A1315"/>
      <c r="B1315"/>
      <c r="C1315"/>
      <c r="D1315"/>
      <c r="E1315"/>
      <c r="F1315"/>
      <c r="G1315"/>
      <c r="H1315"/>
      <c r="I1315"/>
      <c r="J1315" s="3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  <c r="X1315" s="2"/>
      <c r="Y1315" s="2"/>
      <c r="Z1315" s="2"/>
      <c r="AA1315" s="2"/>
    </row>
    <row r="1316" spans="1:27" s="1" customFormat="1">
      <c r="A1316"/>
      <c r="B1316"/>
      <c r="C1316"/>
      <c r="D1316"/>
      <c r="E1316"/>
      <c r="F1316"/>
      <c r="G1316"/>
      <c r="H1316"/>
      <c r="I1316"/>
      <c r="J1316" s="3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  <c r="X1316" s="2"/>
      <c r="Y1316" s="2"/>
      <c r="Z1316" s="2"/>
      <c r="AA1316" s="2"/>
    </row>
    <row r="1317" spans="1:27" s="1" customFormat="1">
      <c r="A1317"/>
      <c r="B1317"/>
      <c r="C1317"/>
      <c r="D1317"/>
      <c r="E1317"/>
      <c r="F1317"/>
      <c r="G1317"/>
      <c r="H1317"/>
      <c r="I1317"/>
      <c r="J1317" s="3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  <c r="X1317" s="2"/>
      <c r="Y1317" s="2"/>
      <c r="Z1317" s="2"/>
      <c r="AA1317" s="2"/>
    </row>
    <row r="1318" spans="1:27" s="1" customFormat="1">
      <c r="A1318"/>
      <c r="B1318"/>
      <c r="C1318"/>
      <c r="D1318"/>
      <c r="E1318"/>
      <c r="F1318"/>
      <c r="G1318"/>
      <c r="H1318"/>
      <c r="I1318"/>
      <c r="J1318" s="3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  <c r="X1318" s="2"/>
      <c r="Y1318" s="2"/>
      <c r="Z1318" s="2"/>
      <c r="AA1318" s="2"/>
    </row>
    <row r="1319" spans="1:27" s="1" customFormat="1">
      <c r="A1319"/>
      <c r="B1319"/>
      <c r="C1319"/>
      <c r="D1319"/>
      <c r="E1319"/>
      <c r="F1319"/>
      <c r="G1319"/>
      <c r="H1319"/>
      <c r="I1319"/>
      <c r="J1319" s="3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  <c r="X1319" s="2"/>
      <c r="Y1319" s="2"/>
      <c r="Z1319" s="2"/>
      <c r="AA1319" s="2"/>
    </row>
    <row r="1320" spans="1:27" s="1" customFormat="1">
      <c r="A1320"/>
      <c r="B1320"/>
      <c r="C1320"/>
      <c r="D1320"/>
      <c r="E1320"/>
      <c r="F1320"/>
      <c r="G1320"/>
      <c r="H1320"/>
      <c r="I1320"/>
      <c r="J1320" s="3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  <c r="X1320" s="2"/>
      <c r="Y1320" s="2"/>
      <c r="Z1320" s="2"/>
      <c r="AA1320" s="2"/>
    </row>
    <row r="1321" spans="1:27" s="1" customFormat="1">
      <c r="A1321"/>
      <c r="B1321"/>
      <c r="C1321"/>
      <c r="D1321"/>
      <c r="E1321"/>
      <c r="F1321"/>
      <c r="G1321"/>
      <c r="H1321"/>
      <c r="I1321"/>
      <c r="J1321" s="3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  <c r="X1321" s="2"/>
      <c r="Y1321" s="2"/>
      <c r="Z1321" s="2"/>
      <c r="AA1321" s="2"/>
    </row>
    <row r="1322" spans="1:27" s="1" customFormat="1">
      <c r="A1322"/>
      <c r="B1322"/>
      <c r="C1322"/>
      <c r="D1322"/>
      <c r="E1322"/>
      <c r="F1322"/>
      <c r="G1322"/>
      <c r="H1322"/>
      <c r="I1322"/>
      <c r="J1322" s="3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  <c r="X1322" s="2"/>
      <c r="Y1322" s="2"/>
      <c r="Z1322" s="2"/>
      <c r="AA1322" s="2"/>
    </row>
    <row r="1323" spans="1:27" s="1" customFormat="1">
      <c r="A1323"/>
      <c r="B1323"/>
      <c r="C1323"/>
      <c r="D1323"/>
      <c r="E1323"/>
      <c r="F1323"/>
      <c r="G1323"/>
      <c r="H1323"/>
      <c r="I1323"/>
      <c r="J1323" s="3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  <c r="X1323" s="2"/>
      <c r="Y1323" s="2"/>
      <c r="Z1323" s="2"/>
      <c r="AA1323" s="2"/>
    </row>
    <row r="1324" spans="1:27" s="1" customFormat="1">
      <c r="A1324"/>
      <c r="B1324"/>
      <c r="C1324"/>
      <c r="D1324"/>
      <c r="E1324"/>
      <c r="F1324"/>
      <c r="G1324"/>
      <c r="H1324"/>
      <c r="I1324"/>
      <c r="J1324" s="3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  <c r="X1324" s="2"/>
      <c r="Y1324" s="2"/>
      <c r="Z1324" s="2"/>
      <c r="AA1324" s="2"/>
    </row>
    <row r="1325" spans="1:27" s="1" customFormat="1">
      <c r="A1325"/>
      <c r="B1325"/>
      <c r="C1325"/>
      <c r="D1325"/>
      <c r="E1325"/>
      <c r="F1325"/>
      <c r="G1325"/>
      <c r="H1325"/>
      <c r="I1325"/>
      <c r="J1325" s="3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  <c r="X1325" s="2"/>
      <c r="Y1325" s="2"/>
      <c r="Z1325" s="2"/>
      <c r="AA1325" s="2"/>
    </row>
    <row r="1326" spans="1:27" s="1" customFormat="1">
      <c r="A1326"/>
      <c r="B1326"/>
      <c r="C1326"/>
      <c r="D1326"/>
      <c r="E1326"/>
      <c r="F1326"/>
      <c r="G1326"/>
      <c r="H1326"/>
      <c r="I1326"/>
      <c r="J1326" s="3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  <c r="X1326" s="2"/>
      <c r="Y1326" s="2"/>
      <c r="Z1326" s="2"/>
      <c r="AA1326" s="2"/>
    </row>
    <row r="1327" spans="1:27" s="1" customFormat="1">
      <c r="A1327"/>
      <c r="B1327"/>
      <c r="C1327"/>
      <c r="D1327"/>
      <c r="E1327"/>
      <c r="F1327"/>
      <c r="G1327"/>
      <c r="H1327"/>
      <c r="I1327"/>
      <c r="J1327" s="3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  <c r="X1327" s="2"/>
      <c r="Y1327" s="2"/>
      <c r="Z1327" s="2"/>
      <c r="AA1327" s="2"/>
    </row>
    <row r="1328" spans="1:27" s="1" customFormat="1">
      <c r="A1328"/>
      <c r="B1328"/>
      <c r="C1328"/>
      <c r="D1328"/>
      <c r="E1328"/>
      <c r="F1328"/>
      <c r="G1328"/>
      <c r="H1328"/>
      <c r="I1328"/>
      <c r="J1328" s="3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  <c r="X1328" s="2"/>
      <c r="Y1328" s="2"/>
      <c r="Z1328" s="2"/>
      <c r="AA1328" s="2"/>
    </row>
    <row r="1329" spans="1:27" s="1" customFormat="1">
      <c r="A1329"/>
      <c r="B1329"/>
      <c r="C1329"/>
      <c r="D1329"/>
      <c r="E1329"/>
      <c r="F1329"/>
      <c r="G1329"/>
      <c r="H1329"/>
      <c r="I1329"/>
      <c r="K1329" s="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2"/>
      <c r="W1329" s="12"/>
      <c r="X1329" s="2"/>
      <c r="Y1329" s="2"/>
      <c r="Z1329" s="2"/>
      <c r="AA1329" s="2"/>
    </row>
    <row r="1330" spans="1:27" s="1" customFormat="1">
      <c r="A1330"/>
      <c r="B1330"/>
      <c r="C1330"/>
      <c r="D1330"/>
      <c r="E1330"/>
      <c r="F1330"/>
      <c r="G1330"/>
      <c r="H1330"/>
      <c r="I1330"/>
      <c r="K1330" s="2"/>
      <c r="L1330" s="14"/>
      <c r="M1330" s="14"/>
      <c r="N1330" s="14"/>
      <c r="O1330" s="12"/>
      <c r="P1330" s="12"/>
      <c r="Q1330" s="12"/>
      <c r="R1330" s="14"/>
      <c r="S1330" s="14"/>
      <c r="T1330" s="12"/>
      <c r="U1330" s="2"/>
      <c r="V1330" s="12"/>
      <c r="W1330" s="2"/>
      <c r="X1330" s="2"/>
      <c r="Y1330" s="2"/>
      <c r="Z1330" s="2"/>
      <c r="AA1330" s="2"/>
    </row>
    <row r="1331" spans="1:27" s="1" customFormat="1">
      <c r="A1331"/>
      <c r="B1331"/>
      <c r="C1331"/>
      <c r="D1331"/>
      <c r="E1331"/>
      <c r="F1331"/>
      <c r="G1331"/>
      <c r="H1331"/>
      <c r="I1331"/>
      <c r="K1331" s="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3"/>
      <c r="V1331" s="13"/>
      <c r="W1331" s="12"/>
      <c r="X1331" s="2"/>
      <c r="Y1331" s="2"/>
      <c r="Z1331" s="2"/>
      <c r="AA1331" s="2"/>
    </row>
    <row r="1332" spans="1:27" s="1" customFormat="1">
      <c r="A1332"/>
      <c r="B1332"/>
      <c r="C1332"/>
      <c r="D1332"/>
      <c r="E1332"/>
      <c r="F1332"/>
      <c r="G1332"/>
      <c r="H1332"/>
      <c r="I1332"/>
      <c r="K1332" s="2"/>
      <c r="L1332" s="10"/>
      <c r="M1332" s="10"/>
      <c r="N1332" s="9"/>
      <c r="O1332" s="6"/>
      <c r="P1332" s="8"/>
      <c r="Q1332" s="6"/>
      <c r="R1332" s="8"/>
      <c r="S1332" s="6"/>
      <c r="T1332" s="8"/>
      <c r="U1332" s="7"/>
      <c r="V1332" s="7"/>
      <c r="W1332" s="6"/>
      <c r="X1332" s="2"/>
      <c r="Y1332" s="2"/>
      <c r="Z1332" s="2"/>
      <c r="AA1332" s="2"/>
    </row>
    <row r="1333" spans="1:27" s="1" customFormat="1">
      <c r="A1333"/>
      <c r="B1333"/>
      <c r="C1333"/>
      <c r="D1333"/>
      <c r="E1333"/>
      <c r="F1333"/>
      <c r="G1333"/>
      <c r="H1333"/>
      <c r="I1333"/>
      <c r="K1333" s="11"/>
      <c r="L1333" s="10"/>
      <c r="M1333" s="10"/>
      <c r="N1333" s="9"/>
      <c r="O1333" s="6"/>
      <c r="P1333" s="8"/>
      <c r="Q1333" s="6"/>
      <c r="R1333" s="8"/>
      <c r="S1333" s="6"/>
      <c r="T1333" s="8"/>
      <c r="U1333" s="7"/>
      <c r="V1333" s="7"/>
      <c r="W1333" s="6"/>
      <c r="X1333" s="2"/>
      <c r="Y1333" s="2"/>
      <c r="Z1333" s="2"/>
      <c r="AA1333" s="2"/>
    </row>
    <row r="1334" spans="1:27" s="1" customFormat="1">
      <c r="A1334"/>
      <c r="B1334"/>
      <c r="C1334"/>
      <c r="D1334"/>
      <c r="E1334"/>
      <c r="F1334"/>
      <c r="G1334"/>
      <c r="H1334"/>
      <c r="I1334"/>
      <c r="K1334" s="2"/>
      <c r="L1334" s="10"/>
      <c r="M1334" s="10"/>
      <c r="N1334" s="9"/>
      <c r="O1334" s="6"/>
      <c r="P1334" s="8"/>
      <c r="Q1334" s="6"/>
      <c r="R1334" s="8"/>
      <c r="S1334" s="6"/>
      <c r="T1334" s="8"/>
      <c r="U1334" s="7"/>
      <c r="V1334" s="7"/>
      <c r="W1334" s="6"/>
      <c r="X1334" s="2"/>
      <c r="Y1334" s="2"/>
      <c r="Z1334" s="2"/>
      <c r="AA1334" s="2"/>
    </row>
    <row r="1335" spans="1:27" s="1" customFormat="1">
      <c r="A1335"/>
      <c r="B1335"/>
      <c r="C1335"/>
      <c r="D1335"/>
      <c r="E1335"/>
      <c r="F1335"/>
      <c r="G1335"/>
      <c r="H1335"/>
      <c r="I1335"/>
      <c r="K1335" s="2"/>
      <c r="L1335" s="10"/>
      <c r="M1335" s="10"/>
      <c r="N1335" s="9"/>
      <c r="O1335" s="6"/>
      <c r="P1335" s="8"/>
      <c r="Q1335" s="6"/>
      <c r="R1335" s="8"/>
      <c r="S1335" s="6"/>
      <c r="T1335" s="8"/>
      <c r="U1335" s="7"/>
      <c r="V1335" s="7"/>
      <c r="W1335" s="6"/>
      <c r="X1335" s="2"/>
      <c r="Y1335" s="2"/>
      <c r="Z1335" s="2"/>
      <c r="AA1335" s="2"/>
    </row>
    <row r="1336" spans="1:27" s="1" customFormat="1">
      <c r="A1336"/>
      <c r="B1336"/>
      <c r="C1336"/>
      <c r="D1336"/>
      <c r="E1336"/>
      <c r="F1336"/>
      <c r="G1336"/>
      <c r="H1336"/>
      <c r="I1336"/>
      <c r="K1336" s="2"/>
      <c r="L1336" s="2"/>
      <c r="M1336" s="2"/>
      <c r="N1336" s="2"/>
      <c r="O1336" s="6"/>
      <c r="P1336" s="8"/>
      <c r="Q1336" s="6"/>
      <c r="R1336" s="8"/>
      <c r="S1336" s="6"/>
      <c r="T1336" s="8"/>
      <c r="U1336" s="7"/>
      <c r="V1336" s="7"/>
      <c r="W1336" s="6"/>
      <c r="X1336" s="2"/>
      <c r="Y1336" s="2"/>
      <c r="Z1336" s="2"/>
      <c r="AA1336" s="2"/>
    </row>
    <row r="1337" spans="1:27" s="1" customFormat="1">
      <c r="A1337"/>
      <c r="B1337"/>
      <c r="C1337"/>
      <c r="D1337"/>
      <c r="E1337"/>
      <c r="F1337"/>
      <c r="G1337"/>
      <c r="H1337"/>
      <c r="I1337"/>
      <c r="K1337" s="2"/>
      <c r="L1337" s="2"/>
      <c r="M1337" s="2"/>
      <c r="N1337" s="2"/>
      <c r="O1337" s="5"/>
      <c r="P1337" s="4"/>
      <c r="Q1337" s="2"/>
      <c r="R1337" s="2"/>
      <c r="S1337" s="2"/>
      <c r="T1337" s="2"/>
      <c r="U1337" s="2"/>
      <c r="V1337" s="2"/>
      <c r="W1337" s="2"/>
      <c r="X1337" s="2"/>
      <c r="Y1337" s="2"/>
      <c r="Z1337" s="2"/>
      <c r="AA1337" s="2"/>
    </row>
    <row r="1338" spans="1:27" s="1" customFormat="1">
      <c r="A1338"/>
      <c r="B1338"/>
      <c r="C1338"/>
      <c r="D1338"/>
      <c r="E1338"/>
      <c r="F1338"/>
      <c r="G1338"/>
      <c r="H1338"/>
      <c r="I1338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  <c r="X1338" s="2"/>
      <c r="Y1338" s="2"/>
      <c r="Z1338" s="2"/>
      <c r="AA1338" s="2"/>
    </row>
    <row r="1339" spans="1:27" s="1" customFormat="1">
      <c r="A1339"/>
      <c r="B1339"/>
      <c r="C1339"/>
      <c r="D1339"/>
      <c r="E1339"/>
      <c r="F1339"/>
      <c r="G1339"/>
      <c r="H1339"/>
      <c r="I1339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  <c r="X1339" s="2"/>
      <c r="Y1339" s="2"/>
      <c r="Z1339" s="2"/>
      <c r="AA1339" s="2"/>
    </row>
    <row r="1340" spans="1:27" s="1" customFormat="1">
      <c r="A1340"/>
      <c r="B1340"/>
      <c r="C1340"/>
      <c r="D1340"/>
      <c r="E1340"/>
      <c r="F1340"/>
      <c r="G1340"/>
      <c r="H1340"/>
      <c r="I1340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  <c r="X1340" s="2"/>
      <c r="Y1340" s="2"/>
      <c r="Z1340" s="2"/>
      <c r="AA1340" s="2"/>
    </row>
    <row r="1341" spans="1:27" s="1" customFormat="1">
      <c r="A1341"/>
      <c r="B1341"/>
      <c r="C1341"/>
      <c r="D1341"/>
      <c r="E1341"/>
      <c r="F1341"/>
      <c r="G1341"/>
      <c r="H1341"/>
      <c r="I1341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  <c r="X1341" s="2"/>
      <c r="Y1341" s="2"/>
      <c r="Z1341" s="2"/>
      <c r="AA1341" s="2"/>
    </row>
    <row r="1342" spans="1:27" s="1" customFormat="1">
      <c r="A1342"/>
      <c r="B1342"/>
      <c r="C1342"/>
      <c r="D1342"/>
      <c r="E1342"/>
      <c r="F1342"/>
      <c r="G1342"/>
      <c r="H1342"/>
      <c r="I134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  <c r="X1342" s="2"/>
      <c r="Y1342" s="2"/>
      <c r="Z1342" s="2"/>
      <c r="AA1342" s="2"/>
    </row>
    <row r="1343" spans="1:27" s="1" customFormat="1">
      <c r="A1343"/>
      <c r="B1343"/>
      <c r="C1343"/>
      <c r="D1343"/>
      <c r="E1343"/>
      <c r="F1343"/>
      <c r="G1343"/>
      <c r="H1343"/>
      <c r="I1343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  <c r="X1343" s="2"/>
      <c r="Y1343" s="2"/>
      <c r="Z1343" s="2"/>
      <c r="AA1343" s="2"/>
    </row>
    <row r="1344" spans="1:27" s="1" customFormat="1">
      <c r="A1344"/>
      <c r="B1344"/>
      <c r="C1344"/>
      <c r="D1344"/>
      <c r="E1344"/>
      <c r="F1344"/>
      <c r="G1344"/>
      <c r="H1344"/>
      <c r="I1344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  <c r="X1344" s="2"/>
      <c r="Y1344" s="2"/>
      <c r="Z1344" s="2"/>
      <c r="AA1344" s="2"/>
    </row>
    <row r="1345" spans="1:27" s="1" customFormat="1">
      <c r="A1345"/>
      <c r="B1345"/>
      <c r="C1345"/>
      <c r="D1345"/>
      <c r="E1345"/>
      <c r="F1345"/>
      <c r="G1345"/>
      <c r="H1345"/>
      <c r="I1345"/>
      <c r="J1345" s="3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  <c r="X1345" s="2"/>
      <c r="Y1345" s="2"/>
      <c r="Z1345" s="2"/>
      <c r="AA1345" s="2"/>
    </row>
    <row r="1346" spans="1:27" s="1" customFormat="1">
      <c r="A1346"/>
      <c r="B1346"/>
      <c r="C1346"/>
      <c r="D1346"/>
      <c r="E1346"/>
      <c r="F1346"/>
      <c r="G1346"/>
      <c r="H1346"/>
      <c r="I1346"/>
      <c r="J1346" s="3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  <c r="X1346" s="2"/>
      <c r="Y1346" s="2"/>
      <c r="Z1346" s="2"/>
      <c r="AA1346" s="2"/>
    </row>
    <row r="1347" spans="1:27" s="1" customFormat="1">
      <c r="A1347"/>
      <c r="B1347"/>
      <c r="C1347"/>
      <c r="D1347"/>
      <c r="E1347"/>
      <c r="F1347"/>
      <c r="G1347"/>
      <c r="H1347"/>
      <c r="I1347"/>
      <c r="J1347" s="3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  <c r="X1347" s="2"/>
      <c r="Y1347" s="2"/>
      <c r="Z1347" s="2"/>
      <c r="AA1347" s="2"/>
    </row>
    <row r="1348" spans="1:27" s="1" customFormat="1">
      <c r="A1348"/>
      <c r="B1348"/>
      <c r="C1348"/>
      <c r="D1348"/>
      <c r="E1348"/>
      <c r="F1348"/>
      <c r="G1348"/>
      <c r="H1348"/>
      <c r="I1348"/>
      <c r="J1348" s="3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  <c r="X1348" s="2"/>
      <c r="Y1348" s="2"/>
      <c r="Z1348" s="2"/>
      <c r="AA1348" s="2"/>
    </row>
    <row r="1349" spans="1:27" s="1" customFormat="1">
      <c r="A1349"/>
      <c r="B1349"/>
      <c r="C1349"/>
      <c r="D1349"/>
      <c r="E1349"/>
      <c r="F1349"/>
      <c r="G1349"/>
      <c r="H1349"/>
      <c r="I1349"/>
      <c r="J1349" s="3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  <c r="X1349" s="2"/>
      <c r="Y1349" s="2"/>
      <c r="Z1349" s="2"/>
      <c r="AA1349" s="2"/>
    </row>
    <row r="1350" spans="1:27" s="1" customFormat="1">
      <c r="A1350"/>
      <c r="B1350"/>
      <c r="C1350"/>
      <c r="D1350"/>
      <c r="E1350"/>
      <c r="F1350"/>
      <c r="G1350"/>
      <c r="H1350"/>
      <c r="I1350"/>
      <c r="J1350" s="3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  <c r="X1350" s="2"/>
      <c r="Y1350" s="2"/>
      <c r="Z1350" s="2"/>
      <c r="AA1350" s="2"/>
    </row>
    <row r="1351" spans="1:27" s="1" customFormat="1">
      <c r="A1351"/>
      <c r="B1351"/>
      <c r="C1351"/>
      <c r="D1351"/>
      <c r="E1351"/>
      <c r="F1351"/>
      <c r="G1351"/>
      <c r="H1351"/>
      <c r="I1351"/>
      <c r="J1351" s="3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  <c r="X1351" s="2"/>
      <c r="Y1351" s="2"/>
      <c r="Z1351" s="2"/>
      <c r="AA1351" s="2"/>
    </row>
    <row r="1352" spans="1:27" s="1" customFormat="1">
      <c r="A1352"/>
      <c r="B1352"/>
      <c r="C1352"/>
      <c r="D1352"/>
      <c r="E1352"/>
      <c r="F1352"/>
      <c r="G1352"/>
      <c r="H1352"/>
      <c r="I1352"/>
      <c r="J1352" s="3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  <c r="X1352" s="2"/>
      <c r="Y1352" s="2"/>
      <c r="Z1352" s="2"/>
      <c r="AA1352" s="2"/>
    </row>
    <row r="1353" spans="1:27" s="1" customFormat="1">
      <c r="A1353"/>
      <c r="B1353"/>
      <c r="C1353"/>
      <c r="D1353"/>
      <c r="E1353"/>
      <c r="F1353"/>
      <c r="G1353"/>
      <c r="H1353"/>
      <c r="I1353"/>
      <c r="J1353" s="3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  <c r="X1353" s="2"/>
      <c r="Y1353" s="2"/>
      <c r="Z1353" s="2"/>
      <c r="AA1353" s="2"/>
    </row>
    <row r="1354" spans="1:27" s="1" customFormat="1">
      <c r="A1354"/>
      <c r="B1354"/>
      <c r="C1354"/>
      <c r="D1354"/>
      <c r="E1354"/>
      <c r="F1354"/>
      <c r="G1354"/>
      <c r="H1354"/>
      <c r="I1354"/>
      <c r="J1354" s="3"/>
      <c r="K1354" s="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2"/>
      <c r="W1354" s="12"/>
      <c r="X1354" s="2"/>
      <c r="Y1354" s="2"/>
      <c r="Z1354" s="2"/>
      <c r="AA1354" s="2"/>
    </row>
    <row r="1355" spans="1:27" s="1" customFormat="1">
      <c r="A1355"/>
      <c r="B1355"/>
      <c r="C1355"/>
      <c r="D1355"/>
      <c r="E1355"/>
      <c r="F1355"/>
      <c r="G1355"/>
      <c r="H1355"/>
      <c r="I1355"/>
      <c r="J1355" s="3"/>
      <c r="K1355" s="2"/>
      <c r="L1355" s="14"/>
      <c r="M1355" s="14"/>
      <c r="N1355" s="14"/>
      <c r="O1355" s="12"/>
      <c r="P1355" s="12"/>
      <c r="Q1355" s="12"/>
      <c r="R1355" s="14"/>
      <c r="S1355" s="14"/>
      <c r="T1355" s="12"/>
      <c r="U1355" s="2"/>
      <c r="V1355" s="12"/>
      <c r="W1355" s="2"/>
      <c r="X1355" s="2"/>
      <c r="Y1355" s="2"/>
      <c r="Z1355" s="2"/>
      <c r="AA1355" s="2"/>
    </row>
    <row r="1356" spans="1:27" s="1" customFormat="1">
      <c r="A1356"/>
      <c r="B1356"/>
      <c r="C1356"/>
      <c r="D1356"/>
      <c r="E1356"/>
      <c r="F1356"/>
      <c r="G1356"/>
      <c r="H1356"/>
      <c r="I1356"/>
      <c r="J1356" s="3"/>
      <c r="K1356" s="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3"/>
      <c r="V1356" s="13"/>
      <c r="W1356" s="12"/>
      <c r="X1356" s="2"/>
      <c r="Y1356" s="2"/>
      <c r="Z1356" s="2"/>
      <c r="AA1356" s="2"/>
    </row>
    <row r="1357" spans="1:27" s="1" customFormat="1">
      <c r="A1357"/>
      <c r="B1357"/>
      <c r="C1357"/>
      <c r="D1357"/>
      <c r="E1357"/>
      <c r="F1357"/>
      <c r="G1357"/>
      <c r="H1357"/>
      <c r="I1357"/>
      <c r="J1357" s="3"/>
      <c r="K1357" s="2"/>
      <c r="L1357" s="10"/>
      <c r="M1357" s="10"/>
      <c r="N1357" s="9"/>
      <c r="O1357" s="6"/>
      <c r="P1357" s="8"/>
      <c r="Q1357" s="6"/>
      <c r="R1357" s="8"/>
      <c r="S1357" s="6"/>
      <c r="T1357" s="8"/>
      <c r="U1357" s="7"/>
      <c r="V1357" s="7"/>
      <c r="W1357" s="6"/>
      <c r="X1357" s="2"/>
      <c r="Y1357" s="2"/>
      <c r="Z1357" s="2"/>
      <c r="AA1357" s="2"/>
    </row>
    <row r="1358" spans="1:27" s="1" customFormat="1">
      <c r="A1358"/>
      <c r="B1358"/>
      <c r="C1358"/>
      <c r="D1358"/>
      <c r="E1358"/>
      <c r="F1358"/>
      <c r="G1358"/>
      <c r="H1358"/>
      <c r="I1358"/>
      <c r="J1358" s="3"/>
      <c r="K1358" s="11"/>
      <c r="L1358" s="10"/>
      <c r="M1358" s="10"/>
      <c r="N1358" s="9"/>
      <c r="O1358" s="6"/>
      <c r="P1358" s="8"/>
      <c r="Q1358" s="6"/>
      <c r="R1358" s="8"/>
      <c r="S1358" s="6"/>
      <c r="T1358" s="8"/>
      <c r="U1358" s="7"/>
      <c r="V1358" s="7"/>
      <c r="W1358" s="6"/>
      <c r="X1358" s="2"/>
      <c r="Y1358" s="2"/>
      <c r="Z1358" s="2"/>
      <c r="AA1358" s="2"/>
    </row>
    <row r="1359" spans="1:27" s="1" customFormat="1">
      <c r="A1359"/>
      <c r="B1359"/>
      <c r="C1359"/>
      <c r="D1359"/>
      <c r="E1359"/>
      <c r="F1359"/>
      <c r="G1359"/>
      <c r="H1359"/>
      <c r="I1359"/>
      <c r="J1359" s="3"/>
      <c r="K1359" s="2"/>
      <c r="L1359" s="10"/>
      <c r="M1359" s="10"/>
      <c r="N1359" s="9"/>
      <c r="O1359" s="6"/>
      <c r="P1359" s="8"/>
      <c r="Q1359" s="6"/>
      <c r="R1359" s="8"/>
      <c r="S1359" s="6"/>
      <c r="T1359" s="8"/>
      <c r="U1359" s="7"/>
      <c r="V1359" s="7"/>
      <c r="W1359" s="6"/>
      <c r="X1359" s="2"/>
      <c r="Y1359" s="2"/>
      <c r="Z1359" s="2"/>
      <c r="AA1359" s="2"/>
    </row>
    <row r="1360" spans="1:27" s="1" customFormat="1">
      <c r="A1360"/>
      <c r="B1360"/>
      <c r="C1360"/>
      <c r="D1360"/>
      <c r="E1360"/>
      <c r="F1360"/>
      <c r="G1360"/>
      <c r="H1360"/>
      <c r="I1360"/>
      <c r="J1360" s="3"/>
      <c r="K1360" s="2"/>
      <c r="L1360" s="10"/>
      <c r="M1360" s="10"/>
      <c r="N1360" s="9"/>
      <c r="O1360" s="6"/>
      <c r="P1360" s="8"/>
      <c r="Q1360" s="6"/>
      <c r="R1360" s="8"/>
      <c r="S1360" s="6"/>
      <c r="T1360" s="8"/>
      <c r="U1360" s="7"/>
      <c r="V1360" s="7"/>
      <c r="W1360" s="6"/>
      <c r="X1360" s="2"/>
      <c r="Y1360" s="2"/>
      <c r="Z1360" s="2"/>
      <c r="AA1360" s="2"/>
    </row>
    <row r="1361" spans="1:27" s="1" customFormat="1">
      <c r="A1361"/>
      <c r="B1361"/>
      <c r="C1361"/>
      <c r="D1361"/>
      <c r="E1361"/>
      <c r="F1361"/>
      <c r="G1361"/>
      <c r="H1361"/>
      <c r="I1361"/>
      <c r="K1361" s="2"/>
      <c r="L1361" s="2"/>
      <c r="M1361" s="2"/>
      <c r="N1361" s="2"/>
      <c r="O1361" s="6"/>
      <c r="P1361" s="8"/>
      <c r="Q1361" s="6"/>
      <c r="R1361" s="8"/>
      <c r="S1361" s="6"/>
      <c r="T1361" s="8"/>
      <c r="U1361" s="7"/>
      <c r="V1361" s="7"/>
      <c r="W1361" s="6"/>
      <c r="X1361" s="2"/>
      <c r="Y1361" s="2"/>
      <c r="Z1361" s="2"/>
      <c r="AA1361" s="2"/>
    </row>
    <row r="1362" spans="1:27" s="1" customFormat="1">
      <c r="A1362"/>
      <c r="B1362"/>
      <c r="C1362"/>
      <c r="D1362"/>
      <c r="E1362"/>
      <c r="F1362"/>
      <c r="G1362"/>
      <c r="H1362"/>
      <c r="I1362"/>
      <c r="K1362" s="2"/>
      <c r="L1362" s="2"/>
      <c r="M1362" s="2"/>
      <c r="N1362" s="2"/>
      <c r="O1362" s="5"/>
      <c r="P1362" s="4"/>
      <c r="Q1362" s="2"/>
      <c r="R1362" s="2"/>
      <c r="S1362" s="2"/>
      <c r="T1362" s="2"/>
      <c r="U1362" s="2"/>
      <c r="V1362" s="2"/>
      <c r="W1362" s="2"/>
      <c r="X1362" s="2"/>
      <c r="Y1362" s="2"/>
      <c r="Z1362" s="2"/>
      <c r="AA1362" s="2"/>
    </row>
    <row r="1363" spans="1:27" s="1" customFormat="1">
      <c r="A1363"/>
      <c r="B1363"/>
      <c r="C1363"/>
      <c r="D1363"/>
      <c r="E1363"/>
      <c r="F1363"/>
      <c r="G1363"/>
      <c r="H1363"/>
      <c r="I1363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  <c r="X1363" s="2"/>
      <c r="Y1363" s="2"/>
      <c r="Z1363" s="2"/>
      <c r="AA1363" s="2"/>
    </row>
    <row r="1364" spans="1:27" s="1" customFormat="1">
      <c r="A1364"/>
      <c r="B1364"/>
      <c r="C1364"/>
      <c r="D1364"/>
      <c r="E1364"/>
      <c r="F1364"/>
      <c r="G1364"/>
      <c r="H1364"/>
      <c r="I1364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  <c r="X1364" s="2"/>
      <c r="Y1364" s="2"/>
      <c r="Z1364" s="2"/>
      <c r="AA1364" s="2"/>
    </row>
    <row r="1365" spans="1:27" s="1" customFormat="1">
      <c r="A1365"/>
      <c r="B1365"/>
      <c r="C1365"/>
      <c r="D1365"/>
      <c r="E1365"/>
      <c r="F1365"/>
      <c r="G1365"/>
      <c r="H1365"/>
      <c r="I1365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  <c r="X1365" s="2"/>
      <c r="Y1365" s="2"/>
      <c r="Z1365" s="2"/>
      <c r="AA1365" s="2"/>
    </row>
    <row r="1366" spans="1:27" s="1" customFormat="1">
      <c r="A1366"/>
      <c r="B1366"/>
      <c r="C1366"/>
      <c r="D1366"/>
      <c r="E1366"/>
      <c r="F1366"/>
      <c r="G1366"/>
      <c r="H1366"/>
      <c r="I1366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  <c r="X1366" s="2"/>
      <c r="Y1366" s="2"/>
      <c r="Z1366" s="2"/>
      <c r="AA1366" s="2"/>
    </row>
    <row r="1367" spans="1:27" s="1" customFormat="1">
      <c r="A1367"/>
      <c r="B1367"/>
      <c r="C1367"/>
      <c r="D1367"/>
      <c r="E1367"/>
      <c r="F1367"/>
      <c r="G1367"/>
      <c r="H1367"/>
      <c r="I1367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  <c r="X1367" s="2"/>
      <c r="Y1367" s="2"/>
      <c r="Z1367" s="2"/>
      <c r="AA1367" s="2"/>
    </row>
    <row r="1368" spans="1:27" s="1" customFormat="1">
      <c r="A1368"/>
      <c r="B1368"/>
      <c r="C1368"/>
      <c r="D1368"/>
      <c r="E1368"/>
      <c r="F1368"/>
      <c r="G1368"/>
      <c r="H1368"/>
      <c r="I1368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  <c r="X1368" s="2"/>
      <c r="Y1368" s="2"/>
      <c r="Z1368" s="2"/>
      <c r="AA1368" s="2"/>
    </row>
    <row r="1369" spans="1:27" s="1" customFormat="1">
      <c r="A1369"/>
      <c r="B1369"/>
      <c r="C1369"/>
      <c r="D1369"/>
      <c r="E1369"/>
      <c r="F1369"/>
      <c r="G1369"/>
      <c r="H1369"/>
      <c r="I1369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  <c r="X1369" s="2"/>
      <c r="Y1369" s="2"/>
      <c r="Z1369" s="2"/>
      <c r="AA1369" s="2"/>
    </row>
    <row r="1370" spans="1:27" s="1" customFormat="1">
      <c r="A1370"/>
      <c r="B1370"/>
      <c r="C1370"/>
      <c r="D1370"/>
      <c r="E1370"/>
      <c r="F1370"/>
      <c r="G1370"/>
      <c r="H1370"/>
      <c r="I1370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  <c r="X1370" s="2"/>
      <c r="Y1370" s="2"/>
      <c r="Z1370" s="2"/>
      <c r="AA1370" s="2"/>
    </row>
    <row r="1371" spans="1:27" s="1" customFormat="1">
      <c r="A1371"/>
      <c r="B1371"/>
      <c r="C1371"/>
      <c r="D1371"/>
      <c r="E1371"/>
      <c r="F1371"/>
      <c r="G1371"/>
      <c r="H1371"/>
      <c r="I1371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  <c r="X1371" s="2"/>
      <c r="Y1371" s="2"/>
      <c r="Z1371" s="2"/>
      <c r="AA1371" s="2"/>
    </row>
    <row r="1372" spans="1:27" s="1" customFormat="1">
      <c r="A1372"/>
      <c r="B1372"/>
      <c r="C1372"/>
      <c r="D1372"/>
      <c r="E1372"/>
      <c r="F1372"/>
      <c r="G1372"/>
      <c r="H1372"/>
      <c r="I137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  <c r="X1372" s="2"/>
      <c r="Y1372" s="2"/>
      <c r="Z1372" s="2"/>
      <c r="AA1372" s="2"/>
    </row>
    <row r="1373" spans="1:27" s="1" customFormat="1">
      <c r="A1373"/>
      <c r="B1373"/>
      <c r="C1373"/>
      <c r="D1373"/>
      <c r="E1373"/>
      <c r="F1373"/>
      <c r="G1373"/>
      <c r="H1373"/>
      <c r="I1373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  <c r="X1373" s="2"/>
      <c r="Y1373" s="2"/>
      <c r="Z1373" s="2"/>
      <c r="AA1373" s="2"/>
    </row>
    <row r="1374" spans="1:27" s="1" customFormat="1">
      <c r="A1374"/>
      <c r="B1374"/>
      <c r="C1374"/>
      <c r="D1374"/>
      <c r="E1374"/>
      <c r="F1374"/>
      <c r="G1374"/>
      <c r="H1374"/>
      <c r="I1374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  <c r="X1374" s="2"/>
      <c r="Y1374" s="2"/>
      <c r="Z1374" s="2"/>
      <c r="AA1374" s="2"/>
    </row>
    <row r="1375" spans="1:27" s="1" customFormat="1">
      <c r="A1375"/>
      <c r="B1375"/>
      <c r="C1375"/>
      <c r="D1375"/>
      <c r="E1375"/>
      <c r="F1375"/>
      <c r="G1375"/>
      <c r="H1375"/>
      <c r="I1375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  <c r="X1375" s="2"/>
      <c r="Y1375" s="2"/>
      <c r="Z1375" s="2"/>
      <c r="AA1375" s="2"/>
    </row>
    <row r="1376" spans="1:27" s="1" customFormat="1">
      <c r="A1376"/>
      <c r="B1376"/>
      <c r="C1376"/>
      <c r="D1376"/>
      <c r="E1376"/>
      <c r="F1376"/>
      <c r="G1376"/>
      <c r="H1376"/>
      <c r="I1376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  <c r="X1376" s="2"/>
      <c r="Y1376" s="2"/>
      <c r="Z1376" s="2"/>
      <c r="AA1376" s="2"/>
    </row>
    <row r="1377" spans="1:27" s="1" customFormat="1">
      <c r="A1377"/>
      <c r="B1377"/>
      <c r="C1377"/>
      <c r="D1377"/>
      <c r="E1377"/>
      <c r="F1377"/>
      <c r="G1377"/>
      <c r="H1377"/>
      <c r="I1377"/>
      <c r="J1377" s="3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  <c r="X1377" s="2"/>
      <c r="Y1377" s="2"/>
      <c r="Z1377" s="2"/>
      <c r="AA1377" s="2"/>
    </row>
    <row r="1378" spans="1:27" s="1" customFormat="1">
      <c r="A1378"/>
      <c r="B1378"/>
      <c r="C1378"/>
      <c r="D1378"/>
      <c r="E1378"/>
      <c r="F1378"/>
      <c r="G1378"/>
      <c r="H1378"/>
      <c r="I1378"/>
      <c r="J1378" s="3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  <c r="X1378" s="2"/>
      <c r="Y1378" s="2"/>
      <c r="Z1378" s="2"/>
      <c r="AA1378" s="2"/>
    </row>
    <row r="1379" spans="1:27" s="1" customFormat="1">
      <c r="A1379"/>
      <c r="B1379"/>
      <c r="C1379"/>
      <c r="D1379"/>
      <c r="E1379"/>
      <c r="F1379"/>
      <c r="G1379"/>
      <c r="H1379"/>
      <c r="I1379"/>
      <c r="J1379" s="3"/>
      <c r="K1379" s="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2"/>
      <c r="W1379" s="12"/>
      <c r="X1379" s="2"/>
      <c r="Y1379" s="2"/>
      <c r="Z1379" s="2"/>
      <c r="AA1379" s="2"/>
    </row>
    <row r="1380" spans="1:27" s="1" customFormat="1">
      <c r="A1380"/>
      <c r="B1380"/>
      <c r="C1380"/>
      <c r="D1380"/>
      <c r="E1380"/>
      <c r="F1380"/>
      <c r="G1380"/>
      <c r="H1380"/>
      <c r="I1380"/>
      <c r="J1380" s="3"/>
      <c r="K1380" s="2"/>
      <c r="L1380" s="14"/>
      <c r="M1380" s="14"/>
      <c r="N1380" s="14"/>
      <c r="O1380" s="12"/>
      <c r="P1380" s="12"/>
      <c r="Q1380" s="12"/>
      <c r="R1380" s="14"/>
      <c r="S1380" s="14"/>
      <c r="T1380" s="12"/>
      <c r="U1380" s="2"/>
      <c r="V1380" s="12"/>
      <c r="W1380" s="2"/>
      <c r="X1380" s="2"/>
      <c r="Y1380" s="2"/>
      <c r="Z1380" s="2"/>
      <c r="AA1380" s="2"/>
    </row>
    <row r="1381" spans="1:27" s="1" customFormat="1">
      <c r="A1381"/>
      <c r="B1381"/>
      <c r="C1381"/>
      <c r="D1381"/>
      <c r="E1381"/>
      <c r="F1381"/>
      <c r="G1381"/>
      <c r="H1381"/>
      <c r="I1381"/>
      <c r="J1381" s="3"/>
      <c r="K1381" s="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3"/>
      <c r="V1381" s="13"/>
      <c r="W1381" s="12"/>
      <c r="X1381" s="2"/>
      <c r="Y1381" s="2"/>
      <c r="Z1381" s="2"/>
      <c r="AA1381" s="2"/>
    </row>
    <row r="1382" spans="1:27" s="1" customFormat="1">
      <c r="A1382"/>
      <c r="B1382"/>
      <c r="C1382"/>
      <c r="D1382"/>
      <c r="E1382"/>
      <c r="F1382"/>
      <c r="G1382"/>
      <c r="H1382"/>
      <c r="I1382"/>
      <c r="J1382" s="3"/>
      <c r="K1382" s="2"/>
      <c r="L1382" s="10"/>
      <c r="M1382" s="10"/>
      <c r="N1382" s="9"/>
      <c r="O1382" s="6"/>
      <c r="P1382" s="8"/>
      <c r="Q1382" s="6"/>
      <c r="R1382" s="8"/>
      <c r="S1382" s="6"/>
      <c r="T1382" s="8"/>
      <c r="U1382" s="7"/>
      <c r="V1382" s="7"/>
      <c r="W1382" s="6"/>
      <c r="X1382" s="2"/>
      <c r="Y1382" s="2"/>
      <c r="Z1382" s="2"/>
      <c r="AA1382" s="2"/>
    </row>
    <row r="1383" spans="1:27" s="1" customFormat="1">
      <c r="A1383"/>
      <c r="B1383"/>
      <c r="C1383"/>
      <c r="D1383"/>
      <c r="E1383"/>
      <c r="F1383"/>
      <c r="G1383"/>
      <c r="H1383"/>
      <c r="I1383"/>
      <c r="J1383" s="3"/>
      <c r="K1383" s="11"/>
      <c r="L1383" s="10"/>
      <c r="M1383" s="10"/>
      <c r="N1383" s="9"/>
      <c r="O1383" s="6"/>
      <c r="P1383" s="8"/>
      <c r="Q1383" s="6"/>
      <c r="R1383" s="8"/>
      <c r="S1383" s="6"/>
      <c r="T1383" s="8"/>
      <c r="U1383" s="7"/>
      <c r="V1383" s="7"/>
      <c r="W1383" s="6"/>
      <c r="X1383" s="2"/>
      <c r="Y1383" s="2"/>
      <c r="Z1383" s="2"/>
      <c r="AA1383" s="2"/>
    </row>
    <row r="1384" spans="1:27" s="1" customFormat="1">
      <c r="A1384"/>
      <c r="B1384"/>
      <c r="C1384"/>
      <c r="D1384"/>
      <c r="E1384"/>
      <c r="F1384"/>
      <c r="G1384"/>
      <c r="H1384"/>
      <c r="I1384"/>
      <c r="J1384" s="3"/>
      <c r="K1384" s="2"/>
      <c r="L1384" s="10"/>
      <c r="M1384" s="10"/>
      <c r="N1384" s="9"/>
      <c r="O1384" s="6"/>
      <c r="P1384" s="8"/>
      <c r="Q1384" s="6"/>
      <c r="R1384" s="8"/>
      <c r="S1384" s="6"/>
      <c r="T1384" s="8"/>
      <c r="U1384" s="7"/>
      <c r="V1384" s="7"/>
      <c r="W1384" s="6"/>
      <c r="X1384" s="2"/>
      <c r="Y1384" s="2"/>
      <c r="Z1384" s="2"/>
      <c r="AA1384" s="2"/>
    </row>
    <row r="1385" spans="1:27" s="1" customFormat="1">
      <c r="A1385"/>
      <c r="B1385"/>
      <c r="C1385"/>
      <c r="D1385"/>
      <c r="E1385"/>
      <c r="F1385"/>
      <c r="G1385"/>
      <c r="H1385"/>
      <c r="I1385"/>
      <c r="J1385" s="3"/>
      <c r="K1385" s="2"/>
      <c r="L1385" s="10"/>
      <c r="M1385" s="10"/>
      <c r="N1385" s="9"/>
      <c r="O1385" s="6"/>
      <c r="P1385" s="8"/>
      <c r="Q1385" s="6"/>
      <c r="R1385" s="8"/>
      <c r="S1385" s="6"/>
      <c r="T1385" s="8"/>
      <c r="U1385" s="7"/>
      <c r="V1385" s="7"/>
      <c r="W1385" s="6"/>
      <c r="X1385" s="2"/>
      <c r="Y1385" s="2"/>
      <c r="Z1385" s="2"/>
      <c r="AA1385" s="2"/>
    </row>
    <row r="1386" spans="1:27" s="1" customFormat="1">
      <c r="A1386"/>
      <c r="B1386"/>
      <c r="C1386"/>
      <c r="D1386"/>
      <c r="E1386"/>
      <c r="F1386"/>
      <c r="G1386"/>
      <c r="H1386"/>
      <c r="I1386"/>
      <c r="J1386" s="3"/>
      <c r="K1386" s="2"/>
      <c r="L1386" s="2"/>
      <c r="M1386" s="2"/>
      <c r="N1386" s="2"/>
      <c r="O1386" s="6"/>
      <c r="P1386" s="8"/>
      <c r="Q1386" s="6"/>
      <c r="R1386" s="8"/>
      <c r="S1386" s="6"/>
      <c r="T1386" s="8"/>
      <c r="U1386" s="7"/>
      <c r="V1386" s="7"/>
      <c r="W1386" s="6"/>
      <c r="X1386" s="2"/>
      <c r="Y1386" s="2"/>
      <c r="Z1386" s="2"/>
      <c r="AA1386" s="2"/>
    </row>
    <row r="1387" spans="1:27" s="1" customFormat="1">
      <c r="A1387"/>
      <c r="B1387"/>
      <c r="C1387"/>
      <c r="D1387"/>
      <c r="E1387"/>
      <c r="F1387"/>
      <c r="G1387"/>
      <c r="H1387"/>
      <c r="I1387"/>
      <c r="J1387" s="3"/>
      <c r="K1387" s="2"/>
      <c r="L1387" s="2"/>
      <c r="M1387" s="2"/>
      <c r="N1387" s="2"/>
      <c r="O1387" s="5"/>
      <c r="P1387" s="4"/>
      <c r="Q1387" s="2"/>
      <c r="R1387" s="2"/>
      <c r="S1387" s="2"/>
      <c r="T1387" s="2"/>
      <c r="U1387" s="2"/>
      <c r="V1387" s="2"/>
      <c r="W1387" s="2"/>
      <c r="X1387" s="2"/>
      <c r="Y1387" s="2"/>
      <c r="Z1387" s="2"/>
      <c r="AA1387" s="2"/>
    </row>
    <row r="1388" spans="1:27" s="1" customFormat="1">
      <c r="A1388"/>
      <c r="B1388"/>
      <c r="C1388"/>
      <c r="D1388"/>
      <c r="E1388"/>
      <c r="F1388"/>
      <c r="G1388"/>
      <c r="H1388"/>
      <c r="I1388"/>
      <c r="J1388" s="3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  <c r="X1388" s="2"/>
      <c r="Y1388" s="2"/>
      <c r="Z1388" s="2"/>
      <c r="AA1388" s="2"/>
    </row>
    <row r="1389" spans="1:27" s="1" customFormat="1">
      <c r="A1389"/>
      <c r="B1389"/>
      <c r="C1389"/>
      <c r="D1389"/>
      <c r="E1389"/>
      <c r="F1389"/>
      <c r="G1389"/>
      <c r="H1389"/>
      <c r="I1389"/>
      <c r="J1389" s="3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  <c r="X1389" s="2"/>
      <c r="Y1389" s="2"/>
      <c r="Z1389" s="2"/>
      <c r="AA1389" s="2"/>
    </row>
    <row r="1390" spans="1:27" s="1" customFormat="1">
      <c r="A1390"/>
      <c r="B1390"/>
      <c r="C1390"/>
      <c r="D1390"/>
      <c r="E1390"/>
      <c r="F1390"/>
      <c r="G1390"/>
      <c r="H1390"/>
      <c r="I1390"/>
      <c r="J1390" s="3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  <c r="X1390" s="2"/>
      <c r="Y1390" s="2"/>
      <c r="Z1390" s="2"/>
      <c r="AA1390" s="2"/>
    </row>
    <row r="1391" spans="1:27" s="1" customFormat="1">
      <c r="A1391"/>
      <c r="B1391"/>
      <c r="C1391"/>
      <c r="D1391"/>
      <c r="E1391"/>
      <c r="F1391"/>
      <c r="G1391"/>
      <c r="H1391"/>
      <c r="I1391"/>
      <c r="J1391" s="3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  <c r="X1391" s="2"/>
      <c r="Y1391" s="2"/>
      <c r="Z1391" s="2"/>
      <c r="AA1391" s="2"/>
    </row>
    <row r="1392" spans="1:27" s="1" customFormat="1">
      <c r="A1392"/>
      <c r="B1392"/>
      <c r="C1392"/>
      <c r="D1392"/>
      <c r="E1392"/>
      <c r="F1392"/>
      <c r="G1392"/>
      <c r="H1392"/>
      <c r="I1392"/>
      <c r="J1392" s="3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  <c r="X1392" s="2"/>
      <c r="Y1392" s="2"/>
      <c r="Z1392" s="2"/>
      <c r="AA1392" s="2"/>
    </row>
    <row r="1393" spans="1:27" s="1" customFormat="1">
      <c r="A1393"/>
      <c r="B1393"/>
      <c r="C1393"/>
      <c r="D1393"/>
      <c r="E1393"/>
      <c r="F1393"/>
      <c r="G1393"/>
      <c r="H1393"/>
      <c r="I1393"/>
      <c r="J1393" s="3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  <c r="X1393" s="2"/>
      <c r="Y1393" s="2"/>
      <c r="Z1393" s="2"/>
      <c r="AA1393" s="2"/>
    </row>
    <row r="1394" spans="1:27" s="1" customFormat="1">
      <c r="A1394"/>
      <c r="B1394"/>
      <c r="C1394"/>
      <c r="D1394"/>
      <c r="E1394"/>
      <c r="F1394"/>
      <c r="G1394"/>
      <c r="H1394"/>
      <c r="I1394"/>
      <c r="J1394" s="3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  <c r="X1394" s="2"/>
      <c r="Y1394" s="2"/>
      <c r="Z1394" s="2"/>
      <c r="AA1394" s="2"/>
    </row>
    <row r="1395" spans="1:27" s="1" customFormat="1">
      <c r="A1395"/>
      <c r="B1395"/>
      <c r="C1395"/>
      <c r="D1395"/>
      <c r="E1395"/>
      <c r="F1395"/>
      <c r="G1395"/>
      <c r="H1395"/>
      <c r="I1395"/>
      <c r="J1395" s="3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  <c r="X1395" s="2"/>
      <c r="Y1395" s="2"/>
      <c r="Z1395" s="2"/>
      <c r="AA1395" s="2"/>
    </row>
    <row r="1396" spans="1:27" s="1" customFormat="1">
      <c r="A1396"/>
      <c r="B1396"/>
      <c r="C1396"/>
      <c r="D1396"/>
      <c r="E1396"/>
      <c r="F1396"/>
      <c r="G1396"/>
      <c r="H1396"/>
      <c r="I1396"/>
      <c r="J1396" s="3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  <c r="X1396" s="2"/>
      <c r="Y1396" s="2"/>
      <c r="Z1396" s="2"/>
      <c r="AA1396" s="2"/>
    </row>
    <row r="1397" spans="1:27" s="1" customFormat="1">
      <c r="A1397"/>
      <c r="B1397"/>
      <c r="C1397"/>
      <c r="D1397"/>
      <c r="E1397"/>
      <c r="F1397"/>
      <c r="G1397"/>
      <c r="H1397"/>
      <c r="I1397"/>
      <c r="J1397" s="3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  <c r="X1397" s="2"/>
      <c r="Y1397" s="2"/>
      <c r="Z1397" s="2"/>
      <c r="AA1397" s="2"/>
    </row>
    <row r="1398" spans="1:27" s="1" customFormat="1">
      <c r="A1398"/>
      <c r="B1398"/>
      <c r="C1398"/>
      <c r="D1398"/>
      <c r="E1398"/>
      <c r="F1398"/>
      <c r="G1398"/>
      <c r="H1398"/>
      <c r="I1398"/>
      <c r="J1398" s="3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  <c r="X1398" s="2"/>
      <c r="Y1398" s="2"/>
      <c r="Z1398" s="2"/>
      <c r="AA1398" s="2"/>
    </row>
    <row r="1399" spans="1:27" s="1" customFormat="1">
      <c r="A1399"/>
      <c r="B1399"/>
      <c r="C1399"/>
      <c r="D1399"/>
      <c r="E1399"/>
      <c r="F1399"/>
      <c r="G1399"/>
      <c r="H1399"/>
      <c r="I1399"/>
      <c r="J1399" s="3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  <c r="X1399" s="2"/>
      <c r="Y1399" s="2"/>
      <c r="Z1399" s="2"/>
      <c r="AA1399" s="2"/>
    </row>
    <row r="1400" spans="1:27" s="1" customFormat="1">
      <c r="A1400"/>
      <c r="B1400"/>
      <c r="C1400"/>
      <c r="D1400"/>
      <c r="E1400"/>
      <c r="F1400"/>
      <c r="G1400"/>
      <c r="H1400"/>
      <c r="I1400"/>
      <c r="J1400" s="3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  <c r="X1400" s="2"/>
      <c r="Y1400" s="2"/>
      <c r="Z1400" s="2"/>
      <c r="AA1400" s="2"/>
    </row>
    <row r="1401" spans="1:27" s="1" customFormat="1">
      <c r="A1401"/>
      <c r="B1401"/>
      <c r="C1401"/>
      <c r="D1401"/>
      <c r="E1401"/>
      <c r="F1401"/>
      <c r="G1401"/>
      <c r="H1401"/>
      <c r="I1401"/>
      <c r="J1401" s="3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  <c r="X1401" s="2"/>
      <c r="Y1401" s="2"/>
      <c r="Z1401" s="2"/>
      <c r="AA1401" s="2"/>
    </row>
    <row r="1402" spans="1:27" s="1" customFormat="1">
      <c r="A1402"/>
      <c r="B1402"/>
      <c r="C1402"/>
      <c r="D1402"/>
      <c r="E1402"/>
      <c r="F1402"/>
      <c r="G1402"/>
      <c r="H1402"/>
      <c r="I1402"/>
      <c r="J1402" s="3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  <c r="X1402" s="2"/>
      <c r="Y1402" s="2"/>
      <c r="Z1402" s="2"/>
      <c r="AA1402" s="2"/>
    </row>
    <row r="1403" spans="1:27" s="1" customFormat="1">
      <c r="A1403"/>
      <c r="B1403"/>
      <c r="C1403"/>
      <c r="D1403"/>
      <c r="E1403"/>
      <c r="F1403"/>
      <c r="G1403"/>
      <c r="H1403"/>
      <c r="I1403"/>
      <c r="J1403" s="3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  <c r="X1403" s="2"/>
      <c r="Y1403" s="2"/>
      <c r="Z1403" s="2"/>
      <c r="AA1403" s="2"/>
    </row>
    <row r="1404" spans="1:27" s="1" customFormat="1">
      <c r="A1404"/>
      <c r="B1404"/>
      <c r="C1404"/>
      <c r="D1404"/>
      <c r="E1404"/>
      <c r="F1404"/>
      <c r="G1404"/>
      <c r="H1404"/>
      <c r="I1404"/>
      <c r="J1404" s="3"/>
      <c r="K1404" s="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2"/>
      <c r="W1404" s="12"/>
      <c r="X1404" s="2"/>
      <c r="Y1404" s="2"/>
      <c r="Z1404" s="2"/>
      <c r="AA1404" s="2"/>
    </row>
    <row r="1405" spans="1:27" s="1" customFormat="1">
      <c r="A1405"/>
      <c r="B1405"/>
      <c r="C1405"/>
      <c r="D1405"/>
      <c r="E1405"/>
      <c r="F1405"/>
      <c r="G1405"/>
      <c r="H1405"/>
      <c r="I1405"/>
      <c r="J1405" s="3"/>
      <c r="K1405" s="2"/>
      <c r="L1405" s="14"/>
      <c r="M1405" s="14"/>
      <c r="N1405" s="14"/>
      <c r="O1405" s="12"/>
      <c r="P1405" s="12"/>
      <c r="Q1405" s="12"/>
      <c r="R1405" s="14"/>
      <c r="S1405" s="14"/>
      <c r="T1405" s="12"/>
      <c r="U1405" s="2"/>
      <c r="V1405" s="12"/>
      <c r="W1405" s="2"/>
      <c r="X1405" s="2"/>
      <c r="Y1405" s="2"/>
      <c r="Z1405" s="2"/>
      <c r="AA1405" s="2"/>
    </row>
    <row r="1406" spans="1:27" s="1" customFormat="1">
      <c r="A1406"/>
      <c r="B1406"/>
      <c r="C1406"/>
      <c r="D1406"/>
      <c r="E1406"/>
      <c r="F1406"/>
      <c r="G1406"/>
      <c r="H1406"/>
      <c r="I1406"/>
      <c r="J1406" s="3"/>
      <c r="K1406" s="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3"/>
      <c r="V1406" s="13"/>
      <c r="W1406" s="12"/>
      <c r="X1406" s="2"/>
      <c r="Y1406" s="2"/>
      <c r="Z1406" s="2"/>
      <c r="AA1406" s="2"/>
    </row>
    <row r="1407" spans="1:27" s="1" customFormat="1">
      <c r="A1407"/>
      <c r="B1407"/>
      <c r="C1407"/>
      <c r="D1407"/>
      <c r="E1407"/>
      <c r="F1407"/>
      <c r="G1407"/>
      <c r="H1407"/>
      <c r="I1407"/>
      <c r="J1407" s="3"/>
      <c r="K1407" s="2"/>
      <c r="L1407" s="10"/>
      <c r="M1407" s="10"/>
      <c r="N1407" s="9"/>
      <c r="O1407" s="6"/>
      <c r="P1407" s="8"/>
      <c r="Q1407" s="6"/>
      <c r="R1407" s="8"/>
      <c r="S1407" s="6"/>
      <c r="T1407" s="8"/>
      <c r="U1407" s="7"/>
      <c r="V1407" s="7"/>
      <c r="W1407" s="6"/>
      <c r="X1407" s="2"/>
      <c r="Y1407" s="2"/>
      <c r="Z1407" s="2"/>
      <c r="AA1407" s="2"/>
    </row>
    <row r="1408" spans="1:27" s="1" customFormat="1">
      <c r="A1408"/>
      <c r="B1408"/>
      <c r="C1408"/>
      <c r="D1408"/>
      <c r="E1408"/>
      <c r="F1408"/>
      <c r="G1408"/>
      <c r="H1408"/>
      <c r="I1408"/>
      <c r="J1408" s="3"/>
      <c r="K1408" s="11"/>
      <c r="L1408" s="10"/>
      <c r="M1408" s="10"/>
      <c r="N1408" s="9"/>
      <c r="O1408" s="6"/>
      <c r="P1408" s="8"/>
      <c r="Q1408" s="6"/>
      <c r="R1408" s="8"/>
      <c r="S1408" s="6"/>
      <c r="T1408" s="8"/>
      <c r="U1408" s="7"/>
      <c r="V1408" s="7"/>
      <c r="W1408" s="6"/>
      <c r="X1408" s="2"/>
      <c r="Y1408" s="2"/>
      <c r="Z1408" s="2"/>
      <c r="AA1408" s="2"/>
    </row>
    <row r="1409" spans="1:27" s="1" customFormat="1">
      <c r="A1409"/>
      <c r="B1409"/>
      <c r="C1409"/>
      <c r="D1409"/>
      <c r="E1409"/>
      <c r="F1409"/>
      <c r="G1409"/>
      <c r="H1409"/>
      <c r="I1409"/>
      <c r="K1409" s="2"/>
      <c r="L1409" s="10"/>
      <c r="M1409" s="10"/>
      <c r="N1409" s="9"/>
      <c r="O1409" s="6"/>
      <c r="P1409" s="8"/>
      <c r="Q1409" s="6"/>
      <c r="R1409" s="8"/>
      <c r="S1409" s="6"/>
      <c r="T1409" s="8"/>
      <c r="U1409" s="7"/>
      <c r="V1409" s="7"/>
      <c r="W1409" s="6"/>
      <c r="X1409" s="2"/>
      <c r="Y1409" s="2"/>
      <c r="Z1409" s="2"/>
      <c r="AA1409" s="2"/>
    </row>
    <row r="1410" spans="1:27" s="1" customFormat="1">
      <c r="A1410"/>
      <c r="B1410"/>
      <c r="C1410"/>
      <c r="D1410"/>
      <c r="E1410"/>
      <c r="F1410"/>
      <c r="G1410"/>
      <c r="H1410"/>
      <c r="I1410"/>
      <c r="K1410" s="2"/>
      <c r="L1410" s="10"/>
      <c r="M1410" s="10"/>
      <c r="N1410" s="9"/>
      <c r="O1410" s="6"/>
      <c r="P1410" s="8"/>
      <c r="Q1410" s="6"/>
      <c r="R1410" s="8"/>
      <c r="S1410" s="6"/>
      <c r="T1410" s="8"/>
      <c r="U1410" s="7"/>
      <c r="V1410" s="7"/>
      <c r="W1410" s="6"/>
      <c r="X1410" s="2"/>
      <c r="Y1410" s="2"/>
      <c r="Z1410" s="2"/>
      <c r="AA1410" s="2"/>
    </row>
    <row r="1411" spans="1:27" s="1" customFormat="1">
      <c r="A1411"/>
      <c r="B1411"/>
      <c r="C1411"/>
      <c r="D1411"/>
      <c r="E1411"/>
      <c r="F1411"/>
      <c r="G1411"/>
      <c r="H1411"/>
      <c r="I1411"/>
      <c r="K1411" s="2"/>
      <c r="L1411" s="2"/>
      <c r="M1411" s="2"/>
      <c r="N1411" s="2"/>
      <c r="O1411" s="6"/>
      <c r="P1411" s="8"/>
      <c r="Q1411" s="6"/>
      <c r="R1411" s="8"/>
      <c r="S1411" s="6"/>
      <c r="T1411" s="8"/>
      <c r="U1411" s="7"/>
      <c r="V1411" s="7"/>
      <c r="W1411" s="6"/>
      <c r="X1411" s="2"/>
      <c r="Y1411" s="2"/>
      <c r="Z1411" s="2"/>
      <c r="AA1411" s="2"/>
    </row>
    <row r="1412" spans="1:27" s="1" customFormat="1">
      <c r="A1412"/>
      <c r="B1412"/>
      <c r="C1412"/>
      <c r="D1412"/>
      <c r="E1412"/>
      <c r="F1412"/>
      <c r="G1412"/>
      <c r="H1412"/>
      <c r="I1412"/>
      <c r="K1412" s="2"/>
      <c r="L1412" s="2"/>
      <c r="M1412" s="2"/>
      <c r="N1412" s="2"/>
      <c r="O1412" s="5"/>
      <c r="P1412" s="4"/>
      <c r="Q1412" s="2"/>
      <c r="R1412" s="2"/>
      <c r="S1412" s="2"/>
      <c r="T1412" s="2"/>
      <c r="U1412" s="2"/>
      <c r="V1412" s="2"/>
      <c r="W1412" s="2"/>
      <c r="X1412" s="2"/>
      <c r="Y1412" s="2"/>
      <c r="Z1412" s="2"/>
      <c r="AA1412" s="2"/>
    </row>
    <row r="1413" spans="1:27" s="1" customFormat="1">
      <c r="A1413"/>
      <c r="B1413"/>
      <c r="C1413"/>
      <c r="D1413"/>
      <c r="E1413"/>
      <c r="F1413"/>
      <c r="G1413"/>
      <c r="H1413"/>
      <c r="I1413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  <c r="X1413" s="2"/>
      <c r="Y1413" s="2"/>
      <c r="Z1413" s="2"/>
      <c r="AA1413" s="2"/>
    </row>
    <row r="1414" spans="1:27" s="1" customFormat="1">
      <c r="A1414"/>
      <c r="B1414"/>
      <c r="C1414"/>
      <c r="D1414"/>
      <c r="E1414"/>
      <c r="F1414"/>
      <c r="G1414"/>
      <c r="H1414"/>
      <c r="I1414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  <c r="X1414" s="2"/>
      <c r="Y1414" s="2"/>
      <c r="Z1414" s="2"/>
      <c r="AA1414" s="2"/>
    </row>
    <row r="1415" spans="1:27" s="1" customFormat="1">
      <c r="A1415"/>
      <c r="B1415"/>
      <c r="C1415"/>
      <c r="D1415"/>
      <c r="E1415"/>
      <c r="F1415"/>
      <c r="G1415"/>
      <c r="H1415"/>
      <c r="I1415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  <c r="X1415" s="2"/>
      <c r="Y1415" s="2"/>
      <c r="Z1415" s="2"/>
      <c r="AA1415" s="2"/>
    </row>
    <row r="1416" spans="1:27" s="1" customFormat="1">
      <c r="A1416"/>
      <c r="B1416"/>
      <c r="C1416"/>
      <c r="D1416"/>
      <c r="E1416"/>
      <c r="F1416"/>
      <c r="G1416"/>
      <c r="H1416"/>
      <c r="I1416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  <c r="X1416" s="2"/>
      <c r="Y1416" s="2"/>
      <c r="Z1416" s="2"/>
      <c r="AA1416" s="2"/>
    </row>
    <row r="1417" spans="1:27" s="1" customFormat="1">
      <c r="A1417"/>
      <c r="B1417"/>
      <c r="C1417"/>
      <c r="D1417"/>
      <c r="E1417"/>
      <c r="F1417"/>
      <c r="G1417"/>
      <c r="H1417"/>
      <c r="I1417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  <c r="X1417" s="2"/>
      <c r="Y1417" s="2"/>
      <c r="Z1417" s="2"/>
      <c r="AA1417" s="2"/>
    </row>
    <row r="1418" spans="1:27" s="1" customFormat="1">
      <c r="A1418"/>
      <c r="B1418"/>
      <c r="C1418"/>
      <c r="D1418"/>
      <c r="E1418"/>
      <c r="F1418"/>
      <c r="G1418"/>
      <c r="H1418"/>
      <c r="I1418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  <c r="X1418" s="2"/>
      <c r="Y1418" s="2"/>
      <c r="Z1418" s="2"/>
      <c r="AA1418" s="2"/>
    </row>
    <row r="1419" spans="1:27" s="1" customFormat="1">
      <c r="A1419"/>
      <c r="B1419"/>
      <c r="C1419"/>
      <c r="D1419"/>
      <c r="E1419"/>
      <c r="F1419"/>
      <c r="G1419"/>
      <c r="H1419"/>
      <c r="I1419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  <c r="X1419" s="2"/>
      <c r="Y1419" s="2"/>
      <c r="Z1419" s="2"/>
      <c r="AA1419" s="2"/>
    </row>
    <row r="1420" spans="1:27" s="1" customFormat="1">
      <c r="A1420"/>
      <c r="B1420"/>
      <c r="C1420"/>
      <c r="D1420"/>
      <c r="E1420"/>
      <c r="F1420"/>
      <c r="G1420"/>
      <c r="H1420"/>
      <c r="I1420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  <c r="X1420" s="2"/>
      <c r="Y1420" s="2"/>
      <c r="Z1420" s="2"/>
      <c r="AA1420" s="2"/>
    </row>
    <row r="1421" spans="1:27" s="1" customFormat="1">
      <c r="A1421"/>
      <c r="B1421"/>
      <c r="C1421"/>
      <c r="D1421"/>
      <c r="E1421"/>
      <c r="F1421"/>
      <c r="G1421"/>
      <c r="H1421"/>
      <c r="I1421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  <c r="X1421" s="2"/>
      <c r="Y1421" s="2"/>
      <c r="Z1421" s="2"/>
      <c r="AA1421" s="2"/>
    </row>
    <row r="1422" spans="1:27" s="1" customFormat="1">
      <c r="A1422"/>
      <c r="B1422"/>
      <c r="C1422"/>
      <c r="D1422"/>
      <c r="E1422"/>
      <c r="F1422"/>
      <c r="G1422"/>
      <c r="H1422"/>
      <c r="I142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  <c r="X1422" s="2"/>
      <c r="Y1422" s="2"/>
      <c r="Z1422" s="2"/>
      <c r="AA1422" s="2"/>
    </row>
    <row r="1423" spans="1:27" s="1" customFormat="1">
      <c r="A1423"/>
      <c r="B1423"/>
      <c r="C1423"/>
      <c r="D1423"/>
      <c r="E1423"/>
      <c r="F1423"/>
      <c r="G1423"/>
      <c r="H1423"/>
      <c r="I1423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  <c r="X1423" s="2"/>
      <c r="Y1423" s="2"/>
      <c r="Z1423" s="2"/>
      <c r="AA1423" s="2"/>
    </row>
    <row r="1424" spans="1:27" s="1" customFormat="1">
      <c r="A1424"/>
      <c r="B1424"/>
      <c r="C1424"/>
      <c r="D1424"/>
      <c r="E1424"/>
      <c r="F1424"/>
      <c r="G1424"/>
      <c r="H1424"/>
      <c r="I1424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  <c r="X1424" s="2"/>
      <c r="Y1424" s="2"/>
      <c r="Z1424" s="2"/>
      <c r="AA1424" s="2"/>
    </row>
    <row r="1425" spans="1:27" s="1" customFormat="1">
      <c r="A1425"/>
      <c r="B1425"/>
      <c r="C1425"/>
      <c r="D1425"/>
      <c r="E1425"/>
      <c r="F1425"/>
      <c r="G1425"/>
      <c r="H1425"/>
      <c r="I1425"/>
      <c r="J1425" s="3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  <c r="X1425" s="2"/>
      <c r="Y1425" s="2"/>
      <c r="Z1425" s="2"/>
      <c r="AA1425" s="2"/>
    </row>
    <row r="1426" spans="1:27" s="1" customFormat="1">
      <c r="A1426"/>
      <c r="B1426"/>
      <c r="C1426"/>
      <c r="D1426"/>
      <c r="E1426"/>
      <c r="F1426"/>
      <c r="G1426"/>
      <c r="H1426"/>
      <c r="I1426"/>
      <c r="J1426" s="3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  <c r="X1426" s="2"/>
      <c r="Y1426" s="2"/>
      <c r="Z1426" s="2"/>
      <c r="AA1426" s="2"/>
    </row>
    <row r="1427" spans="1:27" s="1" customFormat="1">
      <c r="A1427"/>
      <c r="B1427"/>
      <c r="C1427"/>
      <c r="D1427"/>
      <c r="E1427"/>
      <c r="F1427"/>
      <c r="G1427"/>
      <c r="H1427"/>
      <c r="I1427"/>
      <c r="J1427" s="3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  <c r="X1427" s="2"/>
      <c r="Y1427" s="2"/>
      <c r="Z1427" s="2"/>
      <c r="AA1427" s="2"/>
    </row>
    <row r="1428" spans="1:27" s="1" customFormat="1">
      <c r="A1428"/>
      <c r="B1428"/>
      <c r="C1428"/>
      <c r="D1428"/>
      <c r="E1428"/>
      <c r="F1428"/>
      <c r="G1428"/>
      <c r="H1428"/>
      <c r="I1428"/>
      <c r="J1428" s="3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  <c r="X1428" s="2"/>
      <c r="Y1428" s="2"/>
      <c r="Z1428" s="2"/>
      <c r="AA1428" s="2"/>
    </row>
    <row r="1429" spans="1:27" s="1" customFormat="1">
      <c r="A1429"/>
      <c r="B1429"/>
      <c r="C1429"/>
      <c r="D1429"/>
      <c r="E1429"/>
      <c r="F1429"/>
      <c r="G1429"/>
      <c r="H1429"/>
      <c r="I1429"/>
      <c r="J1429" s="3"/>
      <c r="K1429" s="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2"/>
      <c r="W1429" s="12"/>
      <c r="X1429" s="2"/>
      <c r="Y1429" s="2"/>
      <c r="Z1429" s="2"/>
      <c r="AA1429" s="2"/>
    </row>
    <row r="1430" spans="1:27" s="1" customFormat="1">
      <c r="A1430"/>
      <c r="B1430"/>
      <c r="C1430"/>
      <c r="D1430"/>
      <c r="E1430"/>
      <c r="F1430"/>
      <c r="G1430"/>
      <c r="H1430"/>
      <c r="I1430"/>
      <c r="J1430" s="3"/>
      <c r="K1430" s="2"/>
      <c r="L1430" s="14"/>
      <c r="M1430" s="14"/>
      <c r="N1430" s="14"/>
      <c r="O1430" s="12"/>
      <c r="P1430" s="12"/>
      <c r="Q1430" s="12"/>
      <c r="R1430" s="14"/>
      <c r="S1430" s="14"/>
      <c r="T1430" s="12"/>
      <c r="U1430" s="2"/>
      <c r="V1430" s="12"/>
      <c r="W1430" s="2"/>
      <c r="X1430" s="2"/>
      <c r="Y1430" s="2"/>
      <c r="Z1430" s="2"/>
      <c r="AA1430" s="2"/>
    </row>
    <row r="1431" spans="1:27" s="1" customFormat="1">
      <c r="A1431"/>
      <c r="B1431"/>
      <c r="C1431"/>
      <c r="D1431"/>
      <c r="E1431"/>
      <c r="F1431"/>
      <c r="G1431"/>
      <c r="H1431"/>
      <c r="I1431"/>
      <c r="J1431" s="3"/>
      <c r="K1431" s="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3"/>
      <c r="V1431" s="13"/>
      <c r="W1431" s="12"/>
      <c r="X1431" s="2"/>
      <c r="Y1431" s="2"/>
      <c r="Z1431" s="2"/>
      <c r="AA1431" s="2"/>
    </row>
    <row r="1432" spans="1:27" s="1" customFormat="1">
      <c r="A1432"/>
      <c r="B1432"/>
      <c r="C1432"/>
      <c r="D1432"/>
      <c r="E1432"/>
      <c r="F1432"/>
      <c r="G1432"/>
      <c r="H1432"/>
      <c r="I1432"/>
      <c r="J1432" s="3"/>
      <c r="K1432" s="2"/>
      <c r="L1432" s="10"/>
      <c r="M1432" s="10"/>
      <c r="N1432" s="9"/>
      <c r="O1432" s="6"/>
      <c r="P1432" s="8"/>
      <c r="Q1432" s="6"/>
      <c r="R1432" s="8"/>
      <c r="S1432" s="6"/>
      <c r="T1432" s="8"/>
      <c r="U1432" s="7"/>
      <c r="V1432" s="7"/>
      <c r="W1432" s="6"/>
      <c r="X1432" s="2"/>
      <c r="Y1432" s="2"/>
      <c r="Z1432" s="2"/>
      <c r="AA1432" s="2"/>
    </row>
    <row r="1433" spans="1:27" s="1" customFormat="1">
      <c r="A1433"/>
      <c r="B1433"/>
      <c r="C1433"/>
      <c r="D1433"/>
      <c r="E1433"/>
      <c r="F1433"/>
      <c r="G1433"/>
      <c r="H1433"/>
      <c r="I1433"/>
      <c r="J1433" s="3"/>
      <c r="K1433" s="11"/>
      <c r="L1433" s="10"/>
      <c r="M1433" s="10"/>
      <c r="N1433" s="9"/>
      <c r="O1433" s="6"/>
      <c r="P1433" s="8"/>
      <c r="Q1433" s="6"/>
      <c r="R1433" s="8"/>
      <c r="S1433" s="6"/>
      <c r="T1433" s="8"/>
      <c r="U1433" s="7"/>
      <c r="V1433" s="7"/>
      <c r="W1433" s="6"/>
      <c r="X1433" s="2"/>
      <c r="Y1433" s="2"/>
      <c r="Z1433" s="2"/>
      <c r="AA1433" s="2"/>
    </row>
    <row r="1434" spans="1:27" s="1" customFormat="1">
      <c r="A1434"/>
      <c r="B1434"/>
      <c r="C1434"/>
      <c r="D1434"/>
      <c r="E1434"/>
      <c r="F1434"/>
      <c r="G1434"/>
      <c r="H1434"/>
      <c r="I1434"/>
      <c r="J1434" s="3"/>
      <c r="K1434" s="2"/>
      <c r="L1434" s="10"/>
      <c r="M1434" s="10"/>
      <c r="N1434" s="9"/>
      <c r="O1434" s="6"/>
      <c r="P1434" s="8"/>
      <c r="Q1434" s="6"/>
      <c r="R1434" s="8"/>
      <c r="S1434" s="6"/>
      <c r="T1434" s="8"/>
      <c r="U1434" s="7"/>
      <c r="V1434" s="7"/>
      <c r="W1434" s="6"/>
      <c r="X1434" s="2"/>
      <c r="Y1434" s="2"/>
      <c r="Z1434" s="2"/>
      <c r="AA1434" s="2"/>
    </row>
    <row r="1435" spans="1:27" s="1" customFormat="1">
      <c r="A1435"/>
      <c r="B1435"/>
      <c r="C1435"/>
      <c r="D1435"/>
      <c r="E1435"/>
      <c r="F1435"/>
      <c r="G1435"/>
      <c r="H1435"/>
      <c r="I1435"/>
      <c r="J1435" s="3"/>
      <c r="K1435" s="2"/>
      <c r="L1435" s="10"/>
      <c r="M1435" s="10"/>
      <c r="N1435" s="9"/>
      <c r="O1435" s="6"/>
      <c r="P1435" s="8"/>
      <c r="Q1435" s="6"/>
      <c r="R1435" s="8"/>
      <c r="S1435" s="6"/>
      <c r="T1435" s="8"/>
      <c r="U1435" s="7"/>
      <c r="V1435" s="7"/>
      <c r="W1435" s="6"/>
      <c r="X1435" s="2"/>
      <c r="Y1435" s="2"/>
      <c r="Z1435" s="2"/>
      <c r="AA1435" s="2"/>
    </row>
    <row r="1436" spans="1:27" s="1" customFormat="1">
      <c r="A1436"/>
      <c r="B1436"/>
      <c r="C1436"/>
      <c r="D1436"/>
      <c r="E1436"/>
      <c r="F1436"/>
      <c r="G1436"/>
      <c r="H1436"/>
      <c r="I1436"/>
      <c r="J1436" s="3"/>
      <c r="K1436" s="2"/>
      <c r="L1436" s="2"/>
      <c r="M1436" s="2"/>
      <c r="N1436" s="2"/>
      <c r="O1436" s="6"/>
      <c r="P1436" s="8"/>
      <c r="Q1436" s="6"/>
      <c r="R1436" s="8"/>
      <c r="S1436" s="6"/>
      <c r="T1436" s="8"/>
      <c r="U1436" s="7"/>
      <c r="V1436" s="7"/>
      <c r="W1436" s="6"/>
      <c r="X1436" s="2"/>
      <c r="Y1436" s="2"/>
      <c r="Z1436" s="2"/>
      <c r="AA1436" s="2"/>
    </row>
    <row r="1437" spans="1:27" s="1" customFormat="1">
      <c r="A1437"/>
      <c r="B1437"/>
      <c r="C1437"/>
      <c r="D1437"/>
      <c r="E1437"/>
      <c r="F1437"/>
      <c r="G1437"/>
      <c r="H1437"/>
      <c r="I1437"/>
      <c r="J1437" s="3"/>
      <c r="K1437" s="2"/>
      <c r="L1437" s="2"/>
      <c r="M1437" s="2"/>
      <c r="N1437" s="2"/>
      <c r="O1437" s="5"/>
      <c r="P1437" s="4"/>
      <c r="Q1437" s="2"/>
      <c r="R1437" s="2"/>
      <c r="S1437" s="2"/>
      <c r="T1437" s="2"/>
      <c r="U1437" s="2"/>
      <c r="V1437" s="2"/>
      <c r="W1437" s="2"/>
      <c r="X1437" s="2"/>
      <c r="Y1437" s="2"/>
      <c r="Z1437" s="2"/>
      <c r="AA1437" s="2"/>
    </row>
    <row r="1438" spans="1:27" s="1" customFormat="1">
      <c r="A1438"/>
      <c r="B1438"/>
      <c r="C1438"/>
      <c r="D1438"/>
      <c r="E1438"/>
      <c r="F1438"/>
      <c r="G1438"/>
      <c r="H1438"/>
      <c r="I1438"/>
      <c r="J1438" s="3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  <c r="X1438" s="2"/>
      <c r="Y1438" s="2"/>
      <c r="Z1438" s="2"/>
      <c r="AA1438" s="2"/>
    </row>
    <row r="1439" spans="1:27" s="1" customFormat="1">
      <c r="A1439"/>
      <c r="B1439"/>
      <c r="C1439"/>
      <c r="D1439"/>
      <c r="E1439"/>
      <c r="F1439"/>
      <c r="G1439"/>
      <c r="H1439"/>
      <c r="I1439"/>
      <c r="J1439" s="3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  <c r="X1439" s="2"/>
      <c r="Y1439" s="2"/>
      <c r="Z1439" s="2"/>
      <c r="AA1439" s="2"/>
    </row>
    <row r="1440" spans="1:27" s="1" customFormat="1">
      <c r="A1440"/>
      <c r="B1440"/>
      <c r="C1440"/>
      <c r="D1440"/>
      <c r="E1440"/>
      <c r="F1440"/>
      <c r="G1440"/>
      <c r="H1440"/>
      <c r="I1440"/>
      <c r="J1440" s="3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  <c r="X1440" s="2"/>
      <c r="Y1440" s="2"/>
      <c r="Z1440" s="2"/>
      <c r="AA1440" s="2"/>
    </row>
    <row r="1441" spans="1:27" s="1" customFormat="1">
      <c r="A1441"/>
      <c r="B1441"/>
      <c r="C1441"/>
      <c r="D1441"/>
      <c r="E1441"/>
      <c r="F1441"/>
      <c r="G1441"/>
      <c r="H1441"/>
      <c r="I1441"/>
      <c r="J1441" s="3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  <c r="X1441" s="2"/>
      <c r="Y1441" s="2"/>
      <c r="Z1441" s="2"/>
      <c r="AA1441" s="2"/>
    </row>
    <row r="1442" spans="1:27" s="1" customFormat="1">
      <c r="A1442"/>
      <c r="B1442"/>
      <c r="C1442"/>
      <c r="D1442"/>
      <c r="E1442"/>
      <c r="F1442"/>
      <c r="G1442"/>
      <c r="H1442"/>
      <c r="I1442"/>
      <c r="J1442" s="3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  <c r="X1442" s="2"/>
      <c r="Y1442" s="2"/>
      <c r="Z1442" s="2"/>
      <c r="AA1442" s="2"/>
    </row>
    <row r="1443" spans="1:27" s="1" customFormat="1">
      <c r="A1443"/>
      <c r="B1443"/>
      <c r="C1443"/>
      <c r="D1443"/>
      <c r="E1443"/>
      <c r="F1443"/>
      <c r="G1443"/>
      <c r="H1443"/>
      <c r="I1443"/>
      <c r="J1443" s="3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  <c r="X1443" s="2"/>
      <c r="Y1443" s="2"/>
      <c r="Z1443" s="2"/>
      <c r="AA1443" s="2"/>
    </row>
    <row r="1444" spans="1:27" s="1" customFormat="1">
      <c r="A1444"/>
      <c r="B1444"/>
      <c r="C1444"/>
      <c r="D1444"/>
      <c r="E1444"/>
      <c r="F1444"/>
      <c r="G1444"/>
      <c r="H1444"/>
      <c r="I1444"/>
      <c r="J1444" s="3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  <c r="X1444" s="2"/>
      <c r="Y1444" s="2"/>
      <c r="Z1444" s="2"/>
      <c r="AA1444" s="2"/>
    </row>
    <row r="1445" spans="1:27" s="1" customFormat="1">
      <c r="A1445"/>
      <c r="B1445"/>
      <c r="C1445"/>
      <c r="D1445"/>
      <c r="E1445"/>
      <c r="F1445"/>
      <c r="G1445"/>
      <c r="H1445"/>
      <c r="I1445"/>
      <c r="J1445" s="3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  <c r="X1445" s="2"/>
      <c r="Y1445" s="2"/>
      <c r="Z1445" s="2"/>
      <c r="AA1445" s="2"/>
    </row>
    <row r="1446" spans="1:27" s="1" customFormat="1">
      <c r="A1446"/>
      <c r="B1446"/>
      <c r="C1446"/>
      <c r="D1446"/>
      <c r="E1446"/>
      <c r="F1446"/>
      <c r="G1446"/>
      <c r="H1446"/>
      <c r="I1446"/>
      <c r="J1446" s="3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  <c r="X1446" s="2"/>
      <c r="Y1446" s="2"/>
      <c r="Z1446" s="2"/>
      <c r="AA1446" s="2"/>
    </row>
    <row r="1447" spans="1:27" s="1" customFormat="1">
      <c r="A1447"/>
      <c r="B1447"/>
      <c r="C1447"/>
      <c r="D1447"/>
      <c r="E1447"/>
      <c r="F1447"/>
      <c r="G1447"/>
      <c r="H1447"/>
      <c r="I1447"/>
      <c r="J1447" s="3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  <c r="X1447" s="2"/>
      <c r="Y1447" s="2"/>
      <c r="Z1447" s="2"/>
      <c r="AA1447" s="2"/>
    </row>
    <row r="1448" spans="1:27" s="1" customFormat="1">
      <c r="A1448"/>
      <c r="B1448"/>
      <c r="C1448"/>
      <c r="D1448"/>
      <c r="E1448"/>
      <c r="F1448"/>
      <c r="G1448"/>
      <c r="H1448"/>
      <c r="I1448"/>
      <c r="J1448" s="3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  <c r="X1448" s="2"/>
      <c r="Y1448" s="2"/>
      <c r="Z1448" s="2"/>
      <c r="AA1448" s="2"/>
    </row>
    <row r="1449" spans="1:27" s="1" customFormat="1">
      <c r="A1449"/>
      <c r="B1449"/>
      <c r="C1449"/>
      <c r="D1449"/>
      <c r="E1449"/>
      <c r="F1449"/>
      <c r="G1449"/>
      <c r="H1449"/>
      <c r="I1449"/>
      <c r="J1449" s="3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  <c r="X1449" s="2"/>
      <c r="Y1449" s="2"/>
      <c r="Z1449" s="2"/>
      <c r="AA1449" s="2"/>
    </row>
    <row r="1450" spans="1:27" s="1" customFormat="1">
      <c r="A1450"/>
      <c r="B1450"/>
      <c r="C1450"/>
      <c r="D1450"/>
      <c r="E1450"/>
      <c r="F1450"/>
      <c r="G1450"/>
      <c r="H1450"/>
      <c r="I1450"/>
      <c r="J1450" s="3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  <c r="X1450" s="2"/>
      <c r="Y1450" s="2"/>
      <c r="Z1450" s="2"/>
      <c r="AA1450" s="2"/>
    </row>
    <row r="1451" spans="1:27" s="1" customFormat="1">
      <c r="A1451"/>
      <c r="B1451"/>
      <c r="C1451"/>
      <c r="D1451"/>
      <c r="E1451"/>
      <c r="F1451"/>
      <c r="G1451"/>
      <c r="H1451"/>
      <c r="I1451"/>
      <c r="J1451" s="3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  <c r="X1451" s="2"/>
      <c r="Y1451" s="2"/>
      <c r="Z1451" s="2"/>
      <c r="AA1451" s="2"/>
    </row>
    <row r="1452" spans="1:27" s="1" customFormat="1">
      <c r="A1452"/>
      <c r="B1452"/>
      <c r="C1452"/>
      <c r="D1452"/>
      <c r="E1452"/>
      <c r="F1452"/>
      <c r="G1452"/>
      <c r="H1452"/>
      <c r="I1452"/>
      <c r="J1452" s="3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  <c r="X1452" s="2"/>
      <c r="Y1452" s="2"/>
      <c r="Z1452" s="2"/>
      <c r="AA1452" s="2"/>
    </row>
    <row r="1453" spans="1:27" s="1" customFormat="1">
      <c r="A1453"/>
      <c r="B1453"/>
      <c r="C1453"/>
      <c r="D1453"/>
      <c r="E1453"/>
      <c r="F1453"/>
      <c r="G1453"/>
      <c r="H1453"/>
      <c r="I1453"/>
      <c r="J1453" s="3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  <c r="X1453" s="2"/>
      <c r="Y1453" s="2"/>
      <c r="Z1453" s="2"/>
      <c r="AA1453" s="2"/>
    </row>
    <row r="1454" spans="1:27" s="1" customFormat="1">
      <c r="A1454"/>
      <c r="B1454"/>
      <c r="C1454"/>
      <c r="D1454"/>
      <c r="E1454"/>
      <c r="F1454"/>
      <c r="G1454"/>
      <c r="H1454"/>
      <c r="I1454"/>
      <c r="J1454" s="3"/>
      <c r="K1454" s="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2"/>
      <c r="W1454" s="12"/>
      <c r="X1454" s="2"/>
      <c r="Y1454" s="2"/>
      <c r="Z1454" s="2"/>
      <c r="AA1454" s="2"/>
    </row>
    <row r="1455" spans="1:27" s="1" customFormat="1">
      <c r="A1455"/>
      <c r="B1455"/>
      <c r="C1455"/>
      <c r="D1455"/>
      <c r="E1455"/>
      <c r="F1455"/>
      <c r="G1455"/>
      <c r="H1455"/>
      <c r="I1455"/>
      <c r="J1455" s="3"/>
      <c r="K1455" s="2"/>
      <c r="L1455" s="14"/>
      <c r="M1455" s="14"/>
      <c r="N1455" s="14"/>
      <c r="O1455" s="12"/>
      <c r="P1455" s="12"/>
      <c r="Q1455" s="12"/>
      <c r="R1455" s="14"/>
      <c r="S1455" s="14"/>
      <c r="T1455" s="12"/>
      <c r="U1455" s="2"/>
      <c r="V1455" s="12"/>
      <c r="W1455" s="2"/>
      <c r="X1455" s="2"/>
      <c r="Y1455" s="2"/>
      <c r="Z1455" s="2"/>
      <c r="AA1455" s="2"/>
    </row>
    <row r="1456" spans="1:27" s="1" customFormat="1">
      <c r="A1456"/>
      <c r="B1456"/>
      <c r="C1456"/>
      <c r="D1456"/>
      <c r="E1456"/>
      <c r="F1456"/>
      <c r="G1456"/>
      <c r="H1456"/>
      <c r="I1456"/>
      <c r="J1456" s="3"/>
      <c r="K1456" s="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3"/>
      <c r="V1456" s="13"/>
      <c r="W1456" s="12"/>
      <c r="X1456" s="2"/>
      <c r="Y1456" s="2"/>
      <c r="Z1456" s="2"/>
      <c r="AA1456" s="2"/>
    </row>
    <row r="1457" spans="1:27" s="1" customFormat="1">
      <c r="A1457"/>
      <c r="B1457"/>
      <c r="C1457"/>
      <c r="D1457"/>
      <c r="E1457"/>
      <c r="F1457"/>
      <c r="G1457"/>
      <c r="H1457"/>
      <c r="I1457"/>
      <c r="K1457" s="2"/>
      <c r="L1457" s="10"/>
      <c r="M1457" s="10"/>
      <c r="N1457" s="9"/>
      <c r="O1457" s="6"/>
      <c r="P1457" s="8"/>
      <c r="Q1457" s="6"/>
      <c r="R1457" s="8"/>
      <c r="S1457" s="6"/>
      <c r="T1457" s="8"/>
      <c r="U1457" s="7"/>
      <c r="V1457" s="7"/>
      <c r="W1457" s="6"/>
      <c r="X1457" s="2"/>
      <c r="Y1457" s="2"/>
      <c r="Z1457" s="2"/>
      <c r="AA1457" s="2"/>
    </row>
    <row r="1458" spans="1:27" s="1" customFormat="1">
      <c r="A1458"/>
      <c r="B1458"/>
      <c r="C1458"/>
      <c r="D1458"/>
      <c r="E1458"/>
      <c r="F1458"/>
      <c r="G1458"/>
      <c r="H1458"/>
      <c r="I1458"/>
      <c r="K1458" s="11"/>
      <c r="L1458" s="10"/>
      <c r="M1458" s="10"/>
      <c r="N1458" s="9"/>
      <c r="O1458" s="6"/>
      <c r="P1458" s="8"/>
      <c r="Q1458" s="6"/>
      <c r="R1458" s="8"/>
      <c r="S1458" s="6"/>
      <c r="T1458" s="8"/>
      <c r="U1458" s="7"/>
      <c r="V1458" s="7"/>
      <c r="W1458" s="6"/>
      <c r="X1458" s="2"/>
      <c r="Y1458" s="2"/>
      <c r="Z1458" s="2"/>
      <c r="AA1458" s="2"/>
    </row>
    <row r="1459" spans="1:27" s="1" customFormat="1">
      <c r="A1459"/>
      <c r="B1459"/>
      <c r="C1459"/>
      <c r="D1459"/>
      <c r="E1459"/>
      <c r="F1459"/>
      <c r="G1459"/>
      <c r="H1459"/>
      <c r="I1459"/>
      <c r="K1459" s="2"/>
      <c r="L1459" s="10"/>
      <c r="M1459" s="10"/>
      <c r="N1459" s="9"/>
      <c r="O1459" s="6"/>
      <c r="P1459" s="8"/>
      <c r="Q1459" s="6"/>
      <c r="R1459" s="8"/>
      <c r="S1459" s="6"/>
      <c r="T1459" s="8"/>
      <c r="U1459" s="7"/>
      <c r="V1459" s="7"/>
      <c r="W1459" s="6"/>
      <c r="X1459" s="2"/>
      <c r="Y1459" s="2"/>
      <c r="Z1459" s="2"/>
      <c r="AA1459" s="2"/>
    </row>
    <row r="1460" spans="1:27" s="1" customFormat="1">
      <c r="A1460"/>
      <c r="B1460"/>
      <c r="C1460"/>
      <c r="D1460"/>
      <c r="E1460"/>
      <c r="F1460"/>
      <c r="G1460"/>
      <c r="H1460"/>
      <c r="I1460"/>
      <c r="K1460" s="2"/>
      <c r="L1460" s="10"/>
      <c r="M1460" s="10"/>
      <c r="N1460" s="9"/>
      <c r="O1460" s="6"/>
      <c r="P1460" s="8"/>
      <c r="Q1460" s="6"/>
      <c r="R1460" s="8"/>
      <c r="S1460" s="6"/>
      <c r="T1460" s="8"/>
      <c r="U1460" s="7"/>
      <c r="V1460" s="7"/>
      <c r="W1460" s="6"/>
      <c r="X1460" s="2"/>
      <c r="Y1460" s="2"/>
      <c r="Z1460" s="2"/>
      <c r="AA1460" s="2"/>
    </row>
    <row r="1461" spans="1:27" s="1" customFormat="1">
      <c r="A1461"/>
      <c r="B1461"/>
      <c r="C1461"/>
      <c r="D1461"/>
      <c r="E1461"/>
      <c r="F1461"/>
      <c r="G1461"/>
      <c r="H1461"/>
      <c r="I1461"/>
      <c r="K1461" s="2"/>
      <c r="L1461" s="2"/>
      <c r="M1461" s="2"/>
      <c r="N1461" s="2"/>
      <c r="O1461" s="6"/>
      <c r="P1461" s="8"/>
      <c r="Q1461" s="6"/>
      <c r="R1461" s="8"/>
      <c r="S1461" s="6"/>
      <c r="T1461" s="8"/>
      <c r="U1461" s="7"/>
      <c r="V1461" s="7"/>
      <c r="W1461" s="6"/>
      <c r="X1461" s="2"/>
      <c r="Y1461" s="2"/>
      <c r="Z1461" s="2"/>
      <c r="AA1461" s="2"/>
    </row>
    <row r="1462" spans="1:27" s="1" customFormat="1">
      <c r="A1462"/>
      <c r="B1462"/>
      <c r="C1462"/>
      <c r="D1462"/>
      <c r="E1462"/>
      <c r="F1462"/>
      <c r="G1462"/>
      <c r="H1462"/>
      <c r="I1462"/>
      <c r="K1462" s="2"/>
      <c r="L1462" s="2"/>
      <c r="M1462" s="2"/>
      <c r="N1462" s="2"/>
      <c r="O1462" s="5"/>
      <c r="P1462" s="4"/>
      <c r="Q1462" s="2"/>
      <c r="R1462" s="2"/>
      <c r="S1462" s="2"/>
      <c r="T1462" s="2"/>
      <c r="U1462" s="2"/>
      <c r="V1462" s="2"/>
      <c r="W1462" s="2"/>
      <c r="X1462" s="2"/>
      <c r="Y1462" s="2"/>
      <c r="Z1462" s="2"/>
      <c r="AA1462" s="2"/>
    </row>
    <row r="1463" spans="1:27" s="1" customFormat="1">
      <c r="A1463"/>
      <c r="B1463"/>
      <c r="C1463"/>
      <c r="D1463"/>
      <c r="E1463"/>
      <c r="F1463"/>
      <c r="G1463"/>
      <c r="H1463"/>
      <c r="I1463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  <c r="X1463" s="2"/>
      <c r="Y1463" s="2"/>
      <c r="Z1463" s="2"/>
      <c r="AA1463" s="2"/>
    </row>
    <row r="1464" spans="1:27" s="1" customFormat="1">
      <c r="A1464"/>
      <c r="B1464"/>
      <c r="C1464"/>
      <c r="D1464"/>
      <c r="E1464"/>
      <c r="F1464"/>
      <c r="G1464"/>
      <c r="H1464"/>
      <c r="I1464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  <c r="X1464" s="2"/>
      <c r="Y1464" s="2"/>
      <c r="Z1464" s="2"/>
      <c r="AA1464" s="2"/>
    </row>
    <row r="1465" spans="1:27" s="1" customFormat="1">
      <c r="A1465"/>
      <c r="B1465"/>
      <c r="C1465"/>
      <c r="D1465"/>
      <c r="E1465"/>
      <c r="F1465"/>
      <c r="G1465"/>
      <c r="H1465"/>
      <c r="I1465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  <c r="X1465" s="2"/>
      <c r="Y1465" s="2"/>
      <c r="Z1465" s="2"/>
      <c r="AA1465" s="2"/>
    </row>
    <row r="1466" spans="1:27" s="1" customFormat="1">
      <c r="A1466"/>
      <c r="B1466"/>
      <c r="C1466"/>
      <c r="D1466"/>
      <c r="E1466"/>
      <c r="F1466"/>
      <c r="G1466"/>
      <c r="H1466"/>
      <c r="I1466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  <c r="X1466" s="2"/>
      <c r="Y1466" s="2"/>
      <c r="Z1466" s="2"/>
      <c r="AA1466" s="2"/>
    </row>
    <row r="1467" spans="1:27" s="1" customFormat="1">
      <c r="A1467"/>
      <c r="B1467"/>
      <c r="C1467"/>
      <c r="D1467"/>
      <c r="E1467"/>
      <c r="F1467"/>
      <c r="G1467"/>
      <c r="H1467"/>
      <c r="I1467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  <c r="X1467" s="2"/>
      <c r="Y1467" s="2"/>
      <c r="Z1467" s="2"/>
      <c r="AA1467" s="2"/>
    </row>
    <row r="1468" spans="1:27" s="1" customFormat="1">
      <c r="A1468"/>
      <c r="B1468"/>
      <c r="C1468"/>
      <c r="D1468"/>
      <c r="E1468"/>
      <c r="F1468"/>
      <c r="G1468"/>
      <c r="H1468"/>
      <c r="I1468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  <c r="X1468" s="2"/>
      <c r="Y1468" s="2"/>
      <c r="Z1468" s="2"/>
      <c r="AA1468" s="2"/>
    </row>
    <row r="1469" spans="1:27" s="1" customFormat="1">
      <c r="A1469"/>
      <c r="B1469"/>
      <c r="C1469"/>
      <c r="D1469"/>
      <c r="E1469"/>
      <c r="F1469"/>
      <c r="G1469"/>
      <c r="H1469"/>
      <c r="I1469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  <c r="X1469" s="2"/>
      <c r="Y1469" s="2"/>
      <c r="Z1469" s="2"/>
      <c r="AA1469" s="2"/>
    </row>
    <row r="1470" spans="1:27" s="1" customFormat="1">
      <c r="A1470"/>
      <c r="B1470"/>
      <c r="C1470"/>
      <c r="D1470"/>
      <c r="E1470"/>
      <c r="F1470"/>
      <c r="G1470"/>
      <c r="H1470"/>
      <c r="I1470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  <c r="X1470" s="2"/>
      <c r="Y1470" s="2"/>
      <c r="Z1470" s="2"/>
      <c r="AA1470" s="2"/>
    </row>
    <row r="1471" spans="1:27" s="1" customFormat="1">
      <c r="A1471"/>
      <c r="B1471"/>
      <c r="C1471"/>
      <c r="D1471"/>
      <c r="E1471"/>
      <c r="F1471"/>
      <c r="G1471"/>
      <c r="H1471"/>
      <c r="I1471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  <c r="X1471" s="2"/>
      <c r="Y1471" s="2"/>
      <c r="Z1471" s="2"/>
      <c r="AA1471" s="2"/>
    </row>
    <row r="1472" spans="1:27" s="1" customFormat="1">
      <c r="A1472"/>
      <c r="B1472"/>
      <c r="C1472"/>
      <c r="D1472"/>
      <c r="E1472"/>
      <c r="F1472"/>
      <c r="G1472"/>
      <c r="H1472"/>
      <c r="I147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  <c r="X1472" s="2"/>
      <c r="Y1472" s="2"/>
      <c r="Z1472" s="2"/>
      <c r="AA1472" s="2"/>
    </row>
    <row r="1473" spans="1:27" s="1" customFormat="1">
      <c r="A1473"/>
      <c r="B1473"/>
      <c r="C1473"/>
      <c r="D1473"/>
      <c r="E1473"/>
      <c r="F1473"/>
      <c r="G1473"/>
      <c r="H1473"/>
      <c r="I1473"/>
      <c r="J1473" s="3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  <c r="X1473" s="2"/>
      <c r="Y1473" s="2"/>
      <c r="Z1473" s="2"/>
      <c r="AA1473" s="2"/>
    </row>
    <row r="1474" spans="1:27" s="1" customFormat="1">
      <c r="A1474"/>
      <c r="B1474"/>
      <c r="C1474"/>
      <c r="D1474"/>
      <c r="E1474"/>
      <c r="F1474"/>
      <c r="G1474"/>
      <c r="H1474"/>
      <c r="I1474"/>
      <c r="J1474" s="3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  <c r="X1474" s="2"/>
      <c r="Y1474" s="2"/>
      <c r="Z1474" s="2"/>
      <c r="AA1474" s="2"/>
    </row>
    <row r="1475" spans="1:27" s="1" customFormat="1">
      <c r="A1475"/>
      <c r="B1475"/>
      <c r="C1475"/>
      <c r="D1475"/>
      <c r="E1475"/>
      <c r="F1475"/>
      <c r="G1475"/>
      <c r="H1475"/>
      <c r="I1475"/>
      <c r="J1475" s="3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  <c r="X1475" s="2"/>
      <c r="Y1475" s="2"/>
      <c r="Z1475" s="2"/>
      <c r="AA1475" s="2"/>
    </row>
    <row r="1476" spans="1:27" s="1" customFormat="1">
      <c r="A1476"/>
      <c r="B1476"/>
      <c r="C1476"/>
      <c r="D1476"/>
      <c r="E1476"/>
      <c r="F1476"/>
      <c r="G1476"/>
      <c r="H1476"/>
      <c r="I1476"/>
      <c r="J1476" s="3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  <c r="X1476" s="2"/>
      <c r="Y1476" s="2"/>
      <c r="Z1476" s="2"/>
      <c r="AA1476" s="2"/>
    </row>
    <row r="1477" spans="1:27" s="1" customFormat="1">
      <c r="A1477"/>
      <c r="B1477"/>
      <c r="C1477"/>
      <c r="D1477"/>
      <c r="E1477"/>
      <c r="F1477"/>
      <c r="G1477"/>
      <c r="H1477"/>
      <c r="I1477"/>
      <c r="J1477" s="3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  <c r="X1477" s="2"/>
      <c r="Y1477" s="2"/>
      <c r="Z1477" s="2"/>
      <c r="AA1477" s="2"/>
    </row>
    <row r="1478" spans="1:27" s="1" customFormat="1">
      <c r="A1478"/>
      <c r="B1478"/>
      <c r="C1478"/>
      <c r="D1478"/>
      <c r="E1478"/>
      <c r="F1478"/>
      <c r="G1478"/>
      <c r="H1478"/>
      <c r="I1478"/>
      <c r="J1478" s="3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  <c r="X1478" s="2"/>
      <c r="Y1478" s="2"/>
      <c r="Z1478" s="2"/>
      <c r="AA1478" s="2"/>
    </row>
    <row r="1479" spans="1:27" s="1" customFormat="1">
      <c r="A1479"/>
      <c r="B1479"/>
      <c r="C1479"/>
      <c r="D1479"/>
      <c r="E1479"/>
      <c r="F1479"/>
      <c r="G1479"/>
      <c r="H1479"/>
      <c r="I1479"/>
      <c r="J1479" s="3"/>
      <c r="K1479" s="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2"/>
      <c r="W1479" s="12"/>
      <c r="X1479" s="2"/>
      <c r="Y1479" s="2"/>
      <c r="Z1479" s="2"/>
      <c r="AA1479" s="2"/>
    </row>
    <row r="1480" spans="1:27" s="1" customFormat="1">
      <c r="A1480"/>
      <c r="B1480"/>
      <c r="C1480"/>
      <c r="D1480"/>
      <c r="E1480"/>
      <c r="F1480"/>
      <c r="G1480"/>
      <c r="H1480"/>
      <c r="I1480"/>
      <c r="J1480" s="3"/>
      <c r="K1480" s="2"/>
      <c r="L1480" s="14"/>
      <c r="M1480" s="14"/>
      <c r="N1480" s="14"/>
      <c r="O1480" s="12"/>
      <c r="P1480" s="12"/>
      <c r="Q1480" s="12"/>
      <c r="R1480" s="14"/>
      <c r="S1480" s="14"/>
      <c r="T1480" s="12"/>
      <c r="U1480" s="2"/>
      <c r="V1480" s="12"/>
      <c r="W1480" s="2"/>
      <c r="X1480" s="2"/>
      <c r="Y1480" s="2"/>
      <c r="Z1480" s="2"/>
      <c r="AA1480" s="2"/>
    </row>
    <row r="1481" spans="1:27" s="1" customFormat="1">
      <c r="A1481"/>
      <c r="B1481"/>
      <c r="C1481"/>
      <c r="D1481"/>
      <c r="E1481"/>
      <c r="F1481"/>
      <c r="G1481"/>
      <c r="H1481"/>
      <c r="I1481"/>
      <c r="J1481" s="3"/>
      <c r="K1481" s="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3"/>
      <c r="V1481" s="13"/>
      <c r="W1481" s="12"/>
      <c r="X1481" s="2"/>
      <c r="Y1481" s="2"/>
      <c r="Z1481" s="2"/>
      <c r="AA1481" s="2"/>
    </row>
    <row r="1482" spans="1:27" s="1" customFormat="1">
      <c r="A1482"/>
      <c r="B1482"/>
      <c r="C1482"/>
      <c r="D1482"/>
      <c r="E1482"/>
      <c r="F1482"/>
      <c r="G1482"/>
      <c r="H1482"/>
      <c r="I1482"/>
      <c r="J1482" s="3"/>
      <c r="K1482" s="2"/>
      <c r="L1482" s="10"/>
      <c r="M1482" s="10"/>
      <c r="N1482" s="9"/>
      <c r="O1482" s="6"/>
      <c r="P1482" s="8"/>
      <c r="Q1482" s="6"/>
      <c r="R1482" s="8"/>
      <c r="S1482" s="6"/>
      <c r="T1482" s="8"/>
      <c r="U1482" s="7"/>
      <c r="V1482" s="7"/>
      <c r="W1482" s="6"/>
      <c r="X1482" s="2"/>
      <c r="Y1482" s="2"/>
      <c r="Z1482" s="2"/>
      <c r="AA1482" s="2"/>
    </row>
    <row r="1483" spans="1:27" s="1" customFormat="1">
      <c r="A1483"/>
      <c r="B1483"/>
      <c r="C1483"/>
      <c r="D1483"/>
      <c r="E1483"/>
      <c r="F1483"/>
      <c r="G1483"/>
      <c r="H1483"/>
      <c r="I1483"/>
      <c r="J1483" s="3"/>
      <c r="K1483" s="11"/>
      <c r="L1483" s="10"/>
      <c r="M1483" s="10"/>
      <c r="N1483" s="9"/>
      <c r="O1483" s="6"/>
      <c r="P1483" s="8"/>
      <c r="Q1483" s="6"/>
      <c r="R1483" s="8"/>
      <c r="S1483" s="6"/>
      <c r="T1483" s="8"/>
      <c r="U1483" s="7"/>
      <c r="V1483" s="7"/>
      <c r="W1483" s="6"/>
      <c r="X1483" s="2"/>
      <c r="Y1483" s="2"/>
      <c r="Z1483" s="2"/>
      <c r="AA1483" s="2"/>
    </row>
    <row r="1484" spans="1:27" s="1" customFormat="1">
      <c r="A1484"/>
      <c r="B1484"/>
      <c r="C1484"/>
      <c r="D1484"/>
      <c r="E1484"/>
      <c r="F1484"/>
      <c r="G1484"/>
      <c r="H1484"/>
      <c r="I1484"/>
      <c r="J1484" s="3"/>
      <c r="K1484" s="2"/>
      <c r="L1484" s="10"/>
      <c r="M1484" s="10"/>
      <c r="N1484" s="9"/>
      <c r="O1484" s="6"/>
      <c r="P1484" s="8"/>
      <c r="Q1484" s="6"/>
      <c r="R1484" s="8"/>
      <c r="S1484" s="6"/>
      <c r="T1484" s="8"/>
      <c r="U1484" s="7"/>
      <c r="V1484" s="7"/>
      <c r="W1484" s="6"/>
      <c r="X1484" s="2"/>
      <c r="Y1484" s="2"/>
      <c r="Z1484" s="2"/>
      <c r="AA1484" s="2"/>
    </row>
    <row r="1485" spans="1:27" s="1" customFormat="1">
      <c r="A1485"/>
      <c r="B1485"/>
      <c r="C1485"/>
      <c r="D1485"/>
      <c r="E1485"/>
      <c r="F1485"/>
      <c r="G1485"/>
      <c r="H1485"/>
      <c r="I1485"/>
      <c r="J1485" s="3"/>
      <c r="K1485" s="2"/>
      <c r="L1485" s="10"/>
      <c r="M1485" s="10"/>
      <c r="N1485" s="9"/>
      <c r="O1485" s="6"/>
      <c r="P1485" s="8"/>
      <c r="Q1485" s="6"/>
      <c r="R1485" s="8"/>
      <c r="S1485" s="6"/>
      <c r="T1485" s="8"/>
      <c r="U1485" s="7"/>
      <c r="V1485" s="7"/>
      <c r="W1485" s="6"/>
      <c r="X1485" s="2"/>
      <c r="Y1485" s="2"/>
      <c r="Z1485" s="2"/>
      <c r="AA1485" s="2"/>
    </row>
    <row r="1486" spans="1:27" s="1" customFormat="1">
      <c r="A1486"/>
      <c r="B1486"/>
      <c r="C1486"/>
      <c r="D1486"/>
      <c r="E1486"/>
      <c r="F1486"/>
      <c r="G1486"/>
      <c r="H1486"/>
      <c r="I1486"/>
      <c r="J1486" s="3"/>
      <c r="K1486" s="2"/>
      <c r="L1486" s="2"/>
      <c r="M1486" s="2"/>
      <c r="N1486" s="2"/>
      <c r="O1486" s="6"/>
      <c r="P1486" s="8"/>
      <c r="Q1486" s="6"/>
      <c r="R1486" s="8"/>
      <c r="S1486" s="6"/>
      <c r="T1486" s="8"/>
      <c r="U1486" s="7"/>
      <c r="V1486" s="7"/>
      <c r="W1486" s="6"/>
      <c r="X1486" s="2"/>
      <c r="Y1486" s="2"/>
      <c r="Z1486" s="2"/>
      <c r="AA1486" s="2"/>
    </row>
    <row r="1487" spans="1:27" s="1" customFormat="1">
      <c r="A1487"/>
      <c r="B1487"/>
      <c r="C1487"/>
      <c r="D1487"/>
      <c r="E1487"/>
      <c r="F1487"/>
      <c r="G1487"/>
      <c r="H1487"/>
      <c r="I1487"/>
      <c r="J1487" s="3"/>
      <c r="K1487" s="2"/>
      <c r="L1487" s="2"/>
      <c r="M1487" s="2"/>
      <c r="N1487" s="2"/>
      <c r="O1487" s="5"/>
      <c r="P1487" s="4"/>
      <c r="Q1487" s="2"/>
      <c r="R1487" s="2"/>
      <c r="S1487" s="2"/>
      <c r="T1487" s="2"/>
      <c r="U1487" s="2"/>
      <c r="V1487" s="2"/>
      <c r="W1487" s="2"/>
      <c r="X1487" s="2"/>
      <c r="Y1487" s="2"/>
      <c r="Z1487" s="2"/>
      <c r="AA1487" s="2"/>
    </row>
    <row r="1488" spans="1:27" s="1" customFormat="1">
      <c r="A1488"/>
      <c r="B1488"/>
      <c r="C1488"/>
      <c r="D1488"/>
      <c r="E1488"/>
      <c r="F1488"/>
      <c r="G1488"/>
      <c r="H1488"/>
      <c r="I1488"/>
      <c r="J1488" s="3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  <c r="X1488" s="2"/>
      <c r="Y1488" s="2"/>
      <c r="Z1488" s="2"/>
      <c r="AA1488" s="2"/>
    </row>
    <row r="1489" spans="1:27" s="1" customFormat="1">
      <c r="A1489"/>
      <c r="B1489"/>
      <c r="C1489"/>
      <c r="D1489"/>
      <c r="E1489"/>
      <c r="F1489"/>
      <c r="G1489"/>
      <c r="H1489"/>
      <c r="I1489"/>
      <c r="J1489" s="3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  <c r="X1489" s="2"/>
      <c r="Y1489" s="2"/>
      <c r="Z1489" s="2"/>
      <c r="AA1489" s="2"/>
    </row>
    <row r="1490" spans="1:27" s="1" customFormat="1">
      <c r="A1490"/>
      <c r="B1490"/>
      <c r="C1490"/>
      <c r="D1490"/>
      <c r="E1490"/>
      <c r="F1490"/>
      <c r="G1490"/>
      <c r="H1490"/>
      <c r="I1490"/>
      <c r="J1490" s="3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  <c r="X1490" s="2"/>
      <c r="Y1490" s="2"/>
      <c r="Z1490" s="2"/>
      <c r="AA1490" s="2"/>
    </row>
    <row r="1491" spans="1:27" s="1" customFormat="1">
      <c r="A1491"/>
      <c r="B1491"/>
      <c r="C1491"/>
      <c r="D1491"/>
      <c r="E1491"/>
      <c r="F1491"/>
      <c r="G1491"/>
      <c r="H1491"/>
      <c r="I1491"/>
      <c r="J1491" s="3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  <c r="X1491" s="2"/>
      <c r="Y1491" s="2"/>
      <c r="Z1491" s="2"/>
      <c r="AA1491" s="2"/>
    </row>
    <row r="1492" spans="1:27" s="1" customFormat="1">
      <c r="A1492"/>
      <c r="B1492"/>
      <c r="C1492"/>
      <c r="D1492"/>
      <c r="E1492"/>
      <c r="F1492"/>
      <c r="G1492"/>
      <c r="H1492"/>
      <c r="I1492"/>
      <c r="J1492" s="3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  <c r="X1492" s="2"/>
      <c r="Y1492" s="2"/>
      <c r="Z1492" s="2"/>
      <c r="AA1492" s="2"/>
    </row>
    <row r="1493" spans="1:27" s="1" customFormat="1">
      <c r="A1493"/>
      <c r="B1493"/>
      <c r="C1493"/>
      <c r="D1493"/>
      <c r="E1493"/>
      <c r="F1493"/>
      <c r="G1493"/>
      <c r="H1493"/>
      <c r="I1493"/>
      <c r="J1493" s="3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  <c r="X1493" s="2"/>
      <c r="Y1493" s="2"/>
      <c r="Z1493" s="2"/>
      <c r="AA1493" s="2"/>
    </row>
    <row r="1494" spans="1:27" s="1" customFormat="1">
      <c r="A1494"/>
      <c r="B1494"/>
      <c r="C1494"/>
      <c r="D1494"/>
      <c r="E1494"/>
      <c r="F1494"/>
      <c r="G1494"/>
      <c r="H1494"/>
      <c r="I1494"/>
      <c r="J1494" s="3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  <c r="X1494" s="2"/>
      <c r="Y1494" s="2"/>
      <c r="Z1494" s="2"/>
      <c r="AA1494" s="2"/>
    </row>
    <row r="1495" spans="1:27" s="1" customFormat="1">
      <c r="A1495"/>
      <c r="B1495"/>
      <c r="C1495"/>
      <c r="D1495"/>
      <c r="E1495"/>
      <c r="F1495"/>
      <c r="G1495"/>
      <c r="H1495"/>
      <c r="I1495"/>
      <c r="J1495" s="3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  <c r="X1495" s="2"/>
      <c r="Y1495" s="2"/>
      <c r="Z1495" s="2"/>
      <c r="AA1495" s="2"/>
    </row>
    <row r="1496" spans="1:27" s="1" customFormat="1">
      <c r="A1496"/>
      <c r="B1496"/>
      <c r="C1496"/>
      <c r="D1496"/>
      <c r="E1496"/>
      <c r="F1496"/>
      <c r="G1496"/>
      <c r="H1496"/>
      <c r="I1496"/>
      <c r="J1496" s="3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  <c r="X1496" s="2"/>
      <c r="Y1496" s="2"/>
      <c r="Z1496" s="2"/>
      <c r="AA1496" s="2"/>
    </row>
    <row r="1497" spans="1:27" s="1" customFormat="1">
      <c r="A1497"/>
      <c r="B1497"/>
      <c r="C1497"/>
      <c r="D1497"/>
      <c r="E1497"/>
      <c r="F1497"/>
      <c r="G1497"/>
      <c r="H1497"/>
      <c r="I1497"/>
      <c r="J1497" s="3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  <c r="X1497" s="2"/>
      <c r="Y1497" s="2"/>
      <c r="Z1497" s="2"/>
      <c r="AA1497" s="2"/>
    </row>
    <row r="1498" spans="1:27" s="1" customFormat="1">
      <c r="A1498"/>
      <c r="B1498"/>
      <c r="C1498"/>
      <c r="D1498"/>
      <c r="E1498"/>
      <c r="F1498"/>
      <c r="G1498"/>
      <c r="H1498"/>
      <c r="I1498"/>
      <c r="J1498" s="3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  <c r="X1498" s="2"/>
      <c r="Y1498" s="2"/>
      <c r="Z1498" s="2"/>
      <c r="AA1498" s="2"/>
    </row>
    <row r="1499" spans="1:27" s="1" customFormat="1">
      <c r="A1499"/>
      <c r="B1499"/>
      <c r="C1499"/>
      <c r="D1499"/>
      <c r="E1499"/>
      <c r="F1499"/>
      <c r="G1499"/>
      <c r="H1499"/>
      <c r="I1499"/>
      <c r="J1499" s="3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  <c r="X1499" s="2"/>
      <c r="Y1499" s="2"/>
      <c r="Z1499" s="2"/>
      <c r="AA1499" s="2"/>
    </row>
    <row r="1500" spans="1:27" s="1" customFormat="1">
      <c r="A1500"/>
      <c r="B1500"/>
      <c r="C1500"/>
      <c r="D1500"/>
      <c r="E1500"/>
      <c r="F1500"/>
      <c r="G1500"/>
      <c r="H1500"/>
      <c r="I1500"/>
      <c r="J1500" s="3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  <c r="X1500" s="2"/>
      <c r="Y1500" s="2"/>
      <c r="Z1500" s="2"/>
      <c r="AA1500" s="2"/>
    </row>
    <row r="1501" spans="1:27" s="1" customFormat="1">
      <c r="A1501"/>
      <c r="B1501"/>
      <c r="C1501"/>
      <c r="D1501"/>
      <c r="E1501"/>
      <c r="F1501"/>
      <c r="G1501"/>
      <c r="H1501"/>
      <c r="I1501"/>
      <c r="J1501" s="3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  <c r="X1501" s="2"/>
      <c r="Y1501" s="2"/>
      <c r="Z1501" s="2"/>
      <c r="AA1501" s="2"/>
    </row>
    <row r="1502" spans="1:27" s="1" customFormat="1">
      <c r="A1502"/>
      <c r="B1502"/>
      <c r="C1502"/>
      <c r="D1502"/>
      <c r="E1502"/>
      <c r="F1502"/>
      <c r="G1502"/>
      <c r="H1502"/>
      <c r="I1502"/>
      <c r="J1502" s="3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  <c r="X1502" s="2"/>
      <c r="Y1502" s="2"/>
      <c r="Z1502" s="2"/>
      <c r="AA1502" s="2"/>
    </row>
    <row r="1503" spans="1:27" s="1" customFormat="1">
      <c r="A1503"/>
      <c r="B1503"/>
      <c r="C1503"/>
      <c r="D1503"/>
      <c r="E1503"/>
      <c r="F1503"/>
      <c r="G1503"/>
      <c r="H1503"/>
      <c r="I1503"/>
      <c r="J1503" s="3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  <c r="X1503" s="2"/>
      <c r="Y1503" s="2"/>
      <c r="Z1503" s="2"/>
      <c r="AA1503" s="2"/>
    </row>
    <row r="1504" spans="1:27" s="1" customFormat="1">
      <c r="A1504"/>
      <c r="B1504"/>
      <c r="C1504"/>
      <c r="D1504"/>
      <c r="E1504"/>
      <c r="F1504"/>
      <c r="G1504"/>
      <c r="H1504"/>
      <c r="I1504"/>
      <c r="J1504" s="3"/>
      <c r="K1504" s="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2"/>
      <c r="W1504" s="12"/>
      <c r="X1504" s="2"/>
      <c r="Y1504" s="2"/>
      <c r="Z1504" s="2"/>
      <c r="AA1504" s="2"/>
    </row>
    <row r="1505" spans="1:27" s="1" customFormat="1">
      <c r="A1505"/>
      <c r="B1505"/>
      <c r="C1505"/>
      <c r="D1505"/>
      <c r="E1505"/>
      <c r="F1505"/>
      <c r="G1505"/>
      <c r="H1505"/>
      <c r="I1505"/>
      <c r="J1505" s="3"/>
      <c r="K1505" s="2"/>
      <c r="L1505" s="14"/>
      <c r="M1505" s="14"/>
      <c r="N1505" s="14"/>
      <c r="O1505" s="12"/>
      <c r="P1505" s="12"/>
      <c r="Q1505" s="12"/>
      <c r="R1505" s="14"/>
      <c r="S1505" s="14"/>
      <c r="T1505" s="12"/>
      <c r="U1505" s="2"/>
      <c r="V1505" s="12"/>
      <c r="W1505" s="2"/>
      <c r="X1505" s="2"/>
      <c r="Y1505" s="2"/>
      <c r="Z1505" s="2"/>
      <c r="AA1505" s="2"/>
    </row>
    <row r="1506" spans="1:27" s="1" customFormat="1">
      <c r="A1506"/>
      <c r="B1506"/>
      <c r="C1506"/>
      <c r="D1506"/>
      <c r="E1506"/>
      <c r="F1506"/>
      <c r="G1506"/>
      <c r="H1506"/>
      <c r="I1506"/>
      <c r="J1506" s="3"/>
      <c r="K1506" s="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3"/>
      <c r="V1506" s="13"/>
      <c r="W1506" s="12"/>
      <c r="X1506" s="2"/>
      <c r="Y1506" s="2"/>
      <c r="Z1506" s="2"/>
      <c r="AA1506" s="2"/>
    </row>
    <row r="1507" spans="1:27" s="1" customFormat="1">
      <c r="A1507"/>
      <c r="B1507"/>
      <c r="C1507"/>
      <c r="D1507"/>
      <c r="E1507"/>
      <c r="F1507"/>
      <c r="G1507"/>
      <c r="H1507"/>
      <c r="I1507"/>
      <c r="J1507" s="3"/>
      <c r="K1507" s="2"/>
      <c r="L1507" s="10"/>
      <c r="M1507" s="10"/>
      <c r="N1507" s="9"/>
      <c r="O1507" s="6"/>
      <c r="P1507" s="8"/>
      <c r="Q1507" s="6"/>
      <c r="R1507" s="8"/>
      <c r="S1507" s="6"/>
      <c r="T1507" s="8"/>
      <c r="U1507" s="7"/>
      <c r="V1507" s="7"/>
      <c r="W1507" s="6"/>
      <c r="X1507" s="2"/>
      <c r="Y1507" s="2"/>
      <c r="Z1507" s="2"/>
      <c r="AA1507" s="2"/>
    </row>
    <row r="1508" spans="1:27" s="1" customFormat="1">
      <c r="A1508"/>
      <c r="B1508"/>
      <c r="C1508"/>
      <c r="D1508"/>
      <c r="E1508"/>
      <c r="F1508"/>
      <c r="G1508"/>
      <c r="H1508"/>
      <c r="I1508"/>
      <c r="J1508" s="3"/>
      <c r="K1508" s="11"/>
      <c r="L1508" s="10"/>
      <c r="M1508" s="10"/>
      <c r="N1508" s="9"/>
      <c r="O1508" s="6"/>
      <c r="P1508" s="8"/>
      <c r="Q1508" s="6"/>
      <c r="R1508" s="8"/>
      <c r="S1508" s="6"/>
      <c r="T1508" s="8"/>
      <c r="U1508" s="7"/>
      <c r="V1508" s="7"/>
      <c r="W1508" s="6"/>
      <c r="X1508" s="2"/>
      <c r="Y1508" s="2"/>
      <c r="Z1508" s="2"/>
      <c r="AA1508" s="2"/>
    </row>
    <row r="1509" spans="1:27" s="1" customFormat="1">
      <c r="A1509"/>
      <c r="B1509"/>
      <c r="C1509"/>
      <c r="D1509"/>
      <c r="E1509"/>
      <c r="F1509"/>
      <c r="G1509"/>
      <c r="H1509"/>
      <c r="I1509"/>
      <c r="J1509" s="3"/>
      <c r="K1509" s="2"/>
      <c r="L1509" s="10"/>
      <c r="M1509" s="10"/>
      <c r="N1509" s="9"/>
      <c r="O1509" s="6"/>
      <c r="P1509" s="8"/>
      <c r="Q1509" s="6"/>
      <c r="R1509" s="8"/>
      <c r="S1509" s="6"/>
      <c r="T1509" s="8"/>
      <c r="U1509" s="7"/>
      <c r="V1509" s="7"/>
      <c r="W1509" s="6"/>
      <c r="X1509" s="2"/>
      <c r="Y1509" s="2"/>
      <c r="Z1509" s="2"/>
      <c r="AA1509" s="2"/>
    </row>
    <row r="1510" spans="1:27" s="1" customFormat="1">
      <c r="A1510"/>
      <c r="B1510"/>
      <c r="C1510"/>
      <c r="D1510"/>
      <c r="E1510"/>
      <c r="F1510"/>
      <c r="G1510"/>
      <c r="H1510"/>
      <c r="I1510"/>
      <c r="J1510" s="3"/>
      <c r="K1510" s="2"/>
      <c r="L1510" s="10"/>
      <c r="M1510" s="10"/>
      <c r="N1510" s="9"/>
      <c r="O1510" s="6"/>
      <c r="P1510" s="8"/>
      <c r="Q1510" s="6"/>
      <c r="R1510" s="8"/>
      <c r="S1510" s="6"/>
      <c r="T1510" s="8"/>
      <c r="U1510" s="7"/>
      <c r="V1510" s="7"/>
      <c r="W1510" s="6"/>
      <c r="X1510" s="2"/>
      <c r="Y1510" s="2"/>
      <c r="Z1510" s="2"/>
      <c r="AA1510" s="2"/>
    </row>
    <row r="1511" spans="1:27" s="1" customFormat="1">
      <c r="A1511"/>
      <c r="B1511"/>
      <c r="C1511"/>
      <c r="D1511"/>
      <c r="E1511"/>
      <c r="F1511"/>
      <c r="G1511"/>
      <c r="H1511"/>
      <c r="I1511"/>
      <c r="J1511" s="3"/>
      <c r="K1511" s="2"/>
      <c r="L1511" s="2"/>
      <c r="M1511" s="2"/>
      <c r="N1511" s="2"/>
      <c r="O1511" s="6"/>
      <c r="P1511" s="8"/>
      <c r="Q1511" s="6"/>
      <c r="R1511" s="8"/>
      <c r="S1511" s="6"/>
      <c r="T1511" s="8"/>
      <c r="U1511" s="7"/>
      <c r="V1511" s="7"/>
      <c r="W1511" s="6"/>
      <c r="X1511" s="2"/>
      <c r="Y1511" s="2"/>
      <c r="Z1511" s="2"/>
      <c r="AA1511" s="2"/>
    </row>
    <row r="1512" spans="1:27" s="1" customFormat="1">
      <c r="A1512"/>
      <c r="B1512"/>
      <c r="C1512"/>
      <c r="D1512"/>
      <c r="E1512"/>
      <c r="F1512"/>
      <c r="G1512"/>
      <c r="H1512"/>
      <c r="I1512"/>
      <c r="J1512" s="3"/>
      <c r="K1512" s="2"/>
      <c r="L1512" s="2"/>
      <c r="M1512" s="2"/>
      <c r="N1512" s="2"/>
      <c r="O1512" s="5"/>
      <c r="P1512" s="4"/>
      <c r="Q1512" s="2"/>
      <c r="R1512" s="2"/>
      <c r="S1512" s="2"/>
      <c r="T1512" s="2"/>
      <c r="U1512" s="2"/>
      <c r="V1512" s="2"/>
      <c r="W1512" s="2"/>
      <c r="X1512" s="2"/>
      <c r="Y1512" s="2"/>
      <c r="Z1512" s="2"/>
      <c r="AA1512" s="2"/>
    </row>
    <row r="1513" spans="1:27" s="1" customFormat="1">
      <c r="A1513"/>
      <c r="B1513"/>
      <c r="C1513"/>
      <c r="D1513"/>
      <c r="E1513"/>
      <c r="F1513"/>
      <c r="G1513"/>
      <c r="H1513"/>
      <c r="I1513"/>
      <c r="J1513" s="3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  <c r="X1513" s="2"/>
      <c r="Y1513" s="2"/>
      <c r="Z1513" s="2"/>
      <c r="AA1513" s="2"/>
    </row>
    <row r="1514" spans="1:27" s="1" customFormat="1">
      <c r="A1514"/>
      <c r="B1514"/>
      <c r="C1514"/>
      <c r="D1514"/>
      <c r="E1514"/>
      <c r="F1514"/>
      <c r="G1514"/>
      <c r="H1514"/>
      <c r="I1514"/>
      <c r="J1514" s="3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  <c r="X1514" s="2"/>
      <c r="Y1514" s="2"/>
      <c r="Z1514" s="2"/>
      <c r="AA1514" s="2"/>
    </row>
    <row r="1515" spans="1:27" s="1" customFormat="1">
      <c r="A1515"/>
      <c r="B1515"/>
      <c r="C1515"/>
      <c r="D1515"/>
      <c r="E1515"/>
      <c r="F1515"/>
      <c r="G1515"/>
      <c r="H1515"/>
      <c r="I1515"/>
      <c r="J1515" s="3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  <c r="X1515" s="2"/>
      <c r="Y1515" s="2"/>
      <c r="Z1515" s="2"/>
      <c r="AA1515" s="2"/>
    </row>
    <row r="1516" spans="1:27" s="1" customFormat="1">
      <c r="A1516"/>
      <c r="B1516"/>
      <c r="C1516"/>
      <c r="D1516"/>
      <c r="E1516"/>
      <c r="F1516"/>
      <c r="G1516"/>
      <c r="H1516"/>
      <c r="I1516"/>
      <c r="J1516" s="3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  <c r="X1516" s="2"/>
      <c r="Y1516" s="2"/>
      <c r="Z1516" s="2"/>
      <c r="AA1516" s="2"/>
    </row>
    <row r="1517" spans="1:27" s="1" customFormat="1">
      <c r="A1517"/>
      <c r="B1517"/>
      <c r="C1517"/>
      <c r="D1517"/>
      <c r="E1517"/>
      <c r="F1517"/>
      <c r="G1517"/>
      <c r="H1517"/>
      <c r="I1517"/>
      <c r="J1517" s="3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  <c r="X1517" s="2"/>
      <c r="Y1517" s="2"/>
      <c r="Z1517" s="2"/>
      <c r="AA1517" s="2"/>
    </row>
    <row r="1518" spans="1:27" s="1" customFormat="1">
      <c r="A1518"/>
      <c r="B1518"/>
      <c r="C1518"/>
      <c r="D1518"/>
      <c r="E1518"/>
      <c r="F1518"/>
      <c r="G1518"/>
      <c r="H1518"/>
      <c r="I1518"/>
      <c r="J1518" s="3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  <c r="X1518" s="2"/>
      <c r="Y1518" s="2"/>
      <c r="Z1518" s="2"/>
      <c r="AA1518" s="2"/>
    </row>
    <row r="1519" spans="1:27" s="1" customFormat="1">
      <c r="A1519"/>
      <c r="B1519"/>
      <c r="C1519"/>
      <c r="D1519"/>
      <c r="E1519"/>
      <c r="F1519"/>
      <c r="G1519"/>
      <c r="H1519"/>
      <c r="I1519"/>
      <c r="J1519" s="3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  <c r="X1519" s="2"/>
      <c r="Y1519" s="2"/>
      <c r="Z1519" s="2"/>
      <c r="AA1519" s="2"/>
    </row>
    <row r="1520" spans="1:27" s="1" customFormat="1">
      <c r="A1520"/>
      <c r="B1520"/>
      <c r="C1520"/>
      <c r="D1520"/>
      <c r="E1520"/>
      <c r="F1520"/>
      <c r="G1520"/>
      <c r="H1520"/>
      <c r="I1520"/>
      <c r="J1520" s="3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  <c r="X1520" s="2"/>
      <c r="Y1520" s="2"/>
      <c r="Z1520" s="2"/>
      <c r="AA1520" s="2"/>
    </row>
    <row r="1521" spans="1:27" s="1" customFormat="1">
      <c r="A1521"/>
      <c r="B1521"/>
      <c r="C1521"/>
      <c r="D1521"/>
      <c r="E1521"/>
      <c r="F1521"/>
      <c r="G1521"/>
      <c r="H1521"/>
      <c r="I1521"/>
      <c r="J1521" s="3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  <c r="X1521" s="2"/>
      <c r="Y1521" s="2"/>
      <c r="Z1521" s="2"/>
      <c r="AA1521" s="2"/>
    </row>
    <row r="1522" spans="1:27" s="1" customFormat="1">
      <c r="A1522"/>
      <c r="B1522"/>
      <c r="C1522"/>
      <c r="D1522"/>
      <c r="E1522"/>
      <c r="F1522"/>
      <c r="G1522"/>
      <c r="H1522"/>
      <c r="I1522"/>
      <c r="J1522" s="3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  <c r="X1522" s="2"/>
      <c r="Y1522" s="2"/>
      <c r="Z1522" s="2"/>
      <c r="AA1522" s="2"/>
    </row>
    <row r="1523" spans="1:27" s="1" customFormat="1">
      <c r="A1523"/>
      <c r="B1523"/>
      <c r="C1523"/>
      <c r="D1523"/>
      <c r="E1523"/>
      <c r="F1523"/>
      <c r="G1523"/>
      <c r="H1523"/>
      <c r="I1523"/>
      <c r="J1523" s="3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  <c r="X1523" s="2"/>
      <c r="Y1523" s="2"/>
      <c r="Z1523" s="2"/>
      <c r="AA1523" s="2"/>
    </row>
    <row r="1524" spans="1:27" s="1" customFormat="1">
      <c r="A1524"/>
      <c r="B1524"/>
      <c r="C1524"/>
      <c r="D1524"/>
      <c r="E1524"/>
      <c r="F1524"/>
      <c r="G1524"/>
      <c r="H1524"/>
      <c r="I1524"/>
      <c r="J1524" s="3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  <c r="X1524" s="2"/>
      <c r="Y1524" s="2"/>
      <c r="Z1524" s="2"/>
      <c r="AA1524" s="2"/>
    </row>
    <row r="1525" spans="1:27" s="1" customFormat="1">
      <c r="A1525"/>
      <c r="B1525"/>
      <c r="C1525"/>
      <c r="D1525"/>
      <c r="E1525"/>
      <c r="F1525"/>
      <c r="G1525"/>
      <c r="H1525"/>
      <c r="I1525"/>
      <c r="J1525" s="3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  <c r="X1525" s="2"/>
      <c r="Y1525" s="2"/>
      <c r="Z1525" s="2"/>
      <c r="AA1525" s="2"/>
    </row>
    <row r="1526" spans="1:27" s="1" customFormat="1">
      <c r="A1526"/>
      <c r="B1526"/>
      <c r="C1526"/>
      <c r="D1526"/>
      <c r="E1526"/>
      <c r="F1526"/>
      <c r="G1526"/>
      <c r="H1526"/>
      <c r="I1526"/>
      <c r="J1526" s="3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  <c r="X1526" s="2"/>
      <c r="Y1526" s="2"/>
      <c r="Z1526" s="2"/>
      <c r="AA1526" s="2"/>
    </row>
    <row r="1527" spans="1:27" s="1" customFormat="1">
      <c r="A1527"/>
      <c r="B1527"/>
      <c r="C1527"/>
      <c r="D1527"/>
      <c r="E1527"/>
      <c r="F1527"/>
      <c r="G1527"/>
      <c r="H1527"/>
      <c r="I1527"/>
      <c r="J1527" s="3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  <c r="X1527" s="2"/>
      <c r="Y1527" s="2"/>
      <c r="Z1527" s="2"/>
      <c r="AA1527" s="2"/>
    </row>
    <row r="1528" spans="1:27" s="1" customFormat="1">
      <c r="A1528"/>
      <c r="B1528"/>
      <c r="C1528"/>
      <c r="D1528"/>
      <c r="E1528"/>
      <c r="F1528"/>
      <c r="G1528"/>
      <c r="H1528"/>
      <c r="I1528"/>
      <c r="J1528" s="3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  <c r="X1528" s="2"/>
      <c r="Y1528" s="2"/>
      <c r="Z1528" s="2"/>
      <c r="AA1528" s="2"/>
    </row>
    <row r="1529" spans="1:27" s="1" customFormat="1">
      <c r="A1529"/>
      <c r="B1529"/>
      <c r="C1529"/>
      <c r="D1529"/>
      <c r="E1529"/>
      <c r="F1529"/>
      <c r="G1529"/>
      <c r="H1529"/>
      <c r="I1529"/>
      <c r="J1529" s="3"/>
      <c r="K1529" s="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2"/>
      <c r="W1529" s="12"/>
      <c r="X1529" s="2"/>
      <c r="Y1529" s="2"/>
      <c r="Z1529" s="2"/>
      <c r="AA1529" s="2"/>
    </row>
    <row r="1530" spans="1:27" s="1" customFormat="1">
      <c r="A1530"/>
      <c r="B1530"/>
      <c r="C1530"/>
      <c r="D1530"/>
      <c r="E1530"/>
      <c r="F1530"/>
      <c r="G1530"/>
      <c r="H1530"/>
      <c r="I1530"/>
      <c r="J1530" s="3"/>
      <c r="K1530" s="2"/>
      <c r="L1530" s="14"/>
      <c r="M1530" s="14"/>
      <c r="N1530" s="14"/>
      <c r="O1530" s="12"/>
      <c r="P1530" s="12"/>
      <c r="Q1530" s="12"/>
      <c r="R1530" s="14"/>
      <c r="S1530" s="14"/>
      <c r="T1530" s="12"/>
      <c r="U1530" s="2"/>
      <c r="V1530" s="12"/>
      <c r="W1530" s="2"/>
      <c r="X1530" s="2"/>
      <c r="Y1530" s="2"/>
      <c r="Z1530" s="2"/>
      <c r="AA1530" s="2"/>
    </row>
    <row r="1531" spans="1:27" s="1" customFormat="1">
      <c r="A1531"/>
      <c r="B1531"/>
      <c r="C1531"/>
      <c r="D1531"/>
      <c r="E1531"/>
      <c r="F1531"/>
      <c r="G1531"/>
      <c r="H1531"/>
      <c r="I1531"/>
      <c r="J1531" s="3"/>
      <c r="K1531" s="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3"/>
      <c r="V1531" s="13"/>
      <c r="W1531" s="12"/>
      <c r="X1531" s="2"/>
      <c r="Y1531" s="2"/>
      <c r="Z1531" s="2"/>
      <c r="AA1531" s="2"/>
    </row>
    <row r="1532" spans="1:27" s="1" customFormat="1">
      <c r="A1532"/>
      <c r="B1532"/>
      <c r="C1532"/>
      <c r="D1532"/>
      <c r="E1532"/>
      <c r="F1532"/>
      <c r="G1532"/>
      <c r="H1532"/>
      <c r="I1532"/>
      <c r="J1532" s="3"/>
      <c r="K1532" s="2"/>
      <c r="L1532" s="10"/>
      <c r="M1532" s="10"/>
      <c r="N1532" s="9"/>
      <c r="O1532" s="6"/>
      <c r="P1532" s="8"/>
      <c r="Q1532" s="6"/>
      <c r="R1532" s="8"/>
      <c r="S1532" s="6"/>
      <c r="T1532" s="8"/>
      <c r="U1532" s="7"/>
      <c r="V1532" s="7"/>
      <c r="W1532" s="6"/>
      <c r="X1532" s="2"/>
      <c r="Y1532" s="2"/>
      <c r="Z1532" s="2"/>
      <c r="AA1532" s="2"/>
    </row>
    <row r="1533" spans="1:27" s="1" customFormat="1">
      <c r="A1533"/>
      <c r="B1533"/>
      <c r="C1533"/>
      <c r="D1533"/>
      <c r="E1533"/>
      <c r="F1533"/>
      <c r="G1533"/>
      <c r="H1533"/>
      <c r="I1533"/>
      <c r="J1533" s="3"/>
      <c r="K1533" s="11"/>
      <c r="L1533" s="10"/>
      <c r="M1533" s="10"/>
      <c r="N1533" s="9"/>
      <c r="O1533" s="6"/>
      <c r="P1533" s="8"/>
      <c r="Q1533" s="6"/>
      <c r="R1533" s="8"/>
      <c r="S1533" s="6"/>
      <c r="T1533" s="8"/>
      <c r="U1533" s="7"/>
      <c r="V1533" s="7"/>
      <c r="W1533" s="6"/>
      <c r="X1533" s="2"/>
      <c r="Y1533" s="2"/>
      <c r="Z1533" s="2"/>
      <c r="AA1533" s="2"/>
    </row>
    <row r="1534" spans="1:27" s="1" customFormat="1">
      <c r="A1534"/>
      <c r="B1534"/>
      <c r="C1534"/>
      <c r="D1534"/>
      <c r="E1534"/>
      <c r="F1534"/>
      <c r="G1534"/>
      <c r="H1534"/>
      <c r="I1534"/>
      <c r="J1534" s="3"/>
      <c r="K1534" s="2"/>
      <c r="L1534" s="10"/>
      <c r="M1534" s="10"/>
      <c r="N1534" s="9"/>
      <c r="O1534" s="6"/>
      <c r="P1534" s="8"/>
      <c r="Q1534" s="6"/>
      <c r="R1534" s="8"/>
      <c r="S1534" s="6"/>
      <c r="T1534" s="8"/>
      <c r="U1534" s="7"/>
      <c r="V1534" s="7"/>
      <c r="W1534" s="6"/>
      <c r="X1534" s="2"/>
      <c r="Y1534" s="2"/>
      <c r="Z1534" s="2"/>
      <c r="AA1534" s="2"/>
    </row>
    <row r="1535" spans="1:27" s="1" customFormat="1">
      <c r="A1535"/>
      <c r="B1535"/>
      <c r="C1535"/>
      <c r="D1535"/>
      <c r="E1535"/>
      <c r="F1535"/>
      <c r="G1535"/>
      <c r="H1535"/>
      <c r="I1535"/>
      <c r="J1535" s="3"/>
      <c r="K1535" s="2"/>
      <c r="L1535" s="10"/>
      <c r="M1535" s="10"/>
      <c r="N1535" s="9"/>
      <c r="O1535" s="6"/>
      <c r="P1535" s="8"/>
      <c r="Q1535" s="6"/>
      <c r="R1535" s="8"/>
      <c r="S1535" s="6"/>
      <c r="T1535" s="8"/>
      <c r="U1535" s="7"/>
      <c r="V1535" s="7"/>
      <c r="W1535" s="6"/>
      <c r="X1535" s="2"/>
      <c r="Y1535" s="2"/>
      <c r="Z1535" s="2"/>
      <c r="AA1535" s="2"/>
    </row>
    <row r="1536" spans="1:27" s="1" customFormat="1">
      <c r="A1536"/>
      <c r="B1536"/>
      <c r="C1536"/>
      <c r="D1536"/>
      <c r="E1536"/>
      <c r="F1536"/>
      <c r="G1536"/>
      <c r="H1536"/>
      <c r="I1536"/>
      <c r="J1536" s="3"/>
      <c r="K1536" s="2"/>
      <c r="L1536" s="2"/>
      <c r="M1536" s="2"/>
      <c r="N1536" s="2"/>
      <c r="O1536" s="6"/>
      <c r="P1536" s="8"/>
      <c r="Q1536" s="6"/>
      <c r="R1536" s="8"/>
      <c r="S1536" s="6"/>
      <c r="T1536" s="8"/>
      <c r="U1536" s="7"/>
      <c r="V1536" s="7"/>
      <c r="W1536" s="6"/>
      <c r="X1536" s="2"/>
      <c r="Y1536" s="2"/>
      <c r="Z1536" s="2"/>
      <c r="AA1536" s="2"/>
    </row>
    <row r="1537" spans="1:27" s="1" customFormat="1">
      <c r="A1537"/>
      <c r="B1537"/>
      <c r="C1537"/>
      <c r="D1537"/>
      <c r="E1537"/>
      <c r="F1537"/>
      <c r="G1537"/>
      <c r="H1537"/>
      <c r="I1537"/>
      <c r="J1537" s="3"/>
      <c r="K1537" s="2"/>
      <c r="L1537" s="2"/>
      <c r="M1537" s="2"/>
      <c r="N1537" s="2"/>
      <c r="O1537" s="5"/>
      <c r="P1537" s="4"/>
      <c r="Q1537" s="2"/>
      <c r="R1537" s="2"/>
      <c r="S1537" s="2"/>
      <c r="T1537" s="2"/>
      <c r="U1537" s="2"/>
      <c r="V1537" s="2"/>
      <c r="W1537" s="2"/>
      <c r="X1537" s="2"/>
      <c r="Y1537" s="2"/>
      <c r="Z1537" s="2"/>
      <c r="AA1537" s="2"/>
    </row>
    <row r="1538" spans="1:27" s="1" customFormat="1">
      <c r="A1538"/>
      <c r="B1538"/>
      <c r="C1538"/>
      <c r="D1538"/>
      <c r="E1538"/>
      <c r="F1538"/>
      <c r="G1538"/>
      <c r="H1538"/>
      <c r="I1538"/>
      <c r="J1538" s="3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  <c r="X1538" s="2"/>
      <c r="Y1538" s="2"/>
      <c r="Z1538" s="2"/>
      <c r="AA1538" s="2"/>
    </row>
    <row r="1539" spans="1:27" s="1" customFormat="1">
      <c r="A1539"/>
      <c r="B1539"/>
      <c r="C1539"/>
      <c r="D1539"/>
      <c r="E1539"/>
      <c r="F1539"/>
      <c r="G1539"/>
      <c r="H1539"/>
      <c r="I1539"/>
      <c r="J1539" s="3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  <c r="X1539" s="2"/>
      <c r="Y1539" s="2"/>
      <c r="Z1539" s="2"/>
      <c r="AA1539" s="2"/>
    </row>
    <row r="1540" spans="1:27" s="1" customFormat="1">
      <c r="A1540"/>
      <c r="B1540"/>
      <c r="C1540"/>
      <c r="D1540"/>
      <c r="E1540"/>
      <c r="F1540"/>
      <c r="G1540"/>
      <c r="H1540"/>
      <c r="I1540"/>
      <c r="J1540" s="3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  <c r="X1540" s="2"/>
      <c r="Y1540" s="2"/>
      <c r="Z1540" s="2"/>
      <c r="AA1540" s="2"/>
    </row>
    <row r="1541" spans="1:27" s="1" customFormat="1">
      <c r="A1541"/>
      <c r="B1541"/>
      <c r="C1541"/>
      <c r="D1541"/>
      <c r="E1541"/>
      <c r="F1541"/>
      <c r="G1541"/>
      <c r="H1541"/>
      <c r="I1541"/>
      <c r="J1541" s="3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  <c r="X1541" s="2"/>
      <c r="Y1541" s="2"/>
      <c r="Z1541" s="2"/>
      <c r="AA1541" s="2"/>
    </row>
    <row r="1542" spans="1:27" s="1" customFormat="1">
      <c r="A1542"/>
      <c r="B1542"/>
      <c r="C1542"/>
      <c r="D1542"/>
      <c r="E1542"/>
      <c r="F1542"/>
      <c r="G1542"/>
      <c r="H1542"/>
      <c r="I1542"/>
      <c r="J1542" s="3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  <c r="X1542" s="2"/>
      <c r="Y1542" s="2"/>
      <c r="Z1542" s="2"/>
      <c r="AA1542" s="2"/>
    </row>
    <row r="1543" spans="1:27" s="1" customFormat="1">
      <c r="A1543"/>
      <c r="B1543"/>
      <c r="C1543"/>
      <c r="D1543"/>
      <c r="E1543"/>
      <c r="F1543"/>
      <c r="G1543"/>
      <c r="H1543"/>
      <c r="I1543"/>
      <c r="J1543" s="3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  <c r="X1543" s="2"/>
      <c r="Y1543" s="2"/>
      <c r="Z1543" s="2"/>
      <c r="AA1543" s="2"/>
    </row>
    <row r="1544" spans="1:27" s="1" customFormat="1">
      <c r="A1544"/>
      <c r="B1544"/>
      <c r="C1544"/>
      <c r="D1544"/>
      <c r="E1544"/>
      <c r="F1544"/>
      <c r="G1544"/>
      <c r="H1544"/>
      <c r="I1544"/>
      <c r="J1544" s="3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  <c r="X1544" s="2"/>
      <c r="Y1544" s="2"/>
      <c r="Z1544" s="2"/>
      <c r="AA1544" s="2"/>
    </row>
    <row r="1545" spans="1:27" s="1" customFormat="1">
      <c r="A1545"/>
      <c r="B1545"/>
      <c r="C1545"/>
      <c r="D1545"/>
      <c r="E1545"/>
      <c r="F1545"/>
      <c r="G1545"/>
      <c r="H1545"/>
      <c r="I1545"/>
      <c r="J1545" s="3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  <c r="X1545" s="2"/>
      <c r="Y1545" s="2"/>
      <c r="Z1545" s="2"/>
      <c r="AA1545" s="2"/>
    </row>
    <row r="1546" spans="1:27" s="1" customFormat="1">
      <c r="A1546"/>
      <c r="B1546"/>
      <c r="C1546"/>
      <c r="D1546"/>
      <c r="E1546"/>
      <c r="F1546"/>
      <c r="G1546"/>
      <c r="H1546"/>
      <c r="I1546"/>
      <c r="J1546" s="3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  <c r="X1546" s="2"/>
      <c r="Y1546" s="2"/>
      <c r="Z1546" s="2"/>
      <c r="AA1546" s="2"/>
    </row>
    <row r="1547" spans="1:27" s="1" customFormat="1">
      <c r="A1547"/>
      <c r="B1547"/>
      <c r="C1547"/>
      <c r="D1547"/>
      <c r="E1547"/>
      <c r="F1547"/>
      <c r="G1547"/>
      <c r="H1547"/>
      <c r="I1547"/>
      <c r="J1547" s="3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  <c r="X1547" s="2"/>
      <c r="Y1547" s="2"/>
      <c r="Z1547" s="2"/>
      <c r="AA1547" s="2"/>
    </row>
    <row r="1548" spans="1:27" s="1" customFormat="1">
      <c r="A1548"/>
      <c r="B1548"/>
      <c r="C1548"/>
      <c r="D1548"/>
      <c r="E1548"/>
      <c r="F1548"/>
      <c r="G1548"/>
      <c r="H1548"/>
      <c r="I1548"/>
      <c r="J1548" s="3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  <c r="X1548" s="2"/>
      <c r="Y1548" s="2"/>
      <c r="Z1548" s="2"/>
      <c r="AA1548" s="2"/>
    </row>
    <row r="1549" spans="1:27" s="1" customFormat="1">
      <c r="A1549"/>
      <c r="B1549"/>
      <c r="C1549"/>
      <c r="D1549"/>
      <c r="E1549"/>
      <c r="F1549"/>
      <c r="G1549"/>
      <c r="H1549"/>
      <c r="I1549"/>
      <c r="J1549" s="3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  <c r="X1549" s="2"/>
      <c r="Y1549" s="2"/>
      <c r="Z1549" s="2"/>
      <c r="AA1549" s="2"/>
    </row>
    <row r="1550" spans="1:27" s="1" customFormat="1">
      <c r="A1550"/>
      <c r="B1550"/>
      <c r="C1550"/>
      <c r="D1550"/>
      <c r="E1550"/>
      <c r="F1550"/>
      <c r="G1550"/>
      <c r="H1550"/>
      <c r="I1550"/>
      <c r="J1550" s="3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  <c r="X1550" s="2"/>
      <c r="Y1550" s="2"/>
      <c r="Z1550" s="2"/>
      <c r="AA1550" s="2"/>
    </row>
    <row r="1551" spans="1:27" s="1" customFormat="1">
      <c r="A1551"/>
      <c r="B1551"/>
      <c r="C1551"/>
      <c r="D1551"/>
      <c r="E1551"/>
      <c r="F1551"/>
      <c r="G1551"/>
      <c r="H1551"/>
      <c r="I1551"/>
      <c r="J1551" s="3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  <c r="X1551" s="2"/>
      <c r="Y1551" s="2"/>
      <c r="Z1551" s="2"/>
      <c r="AA1551" s="2"/>
    </row>
    <row r="1552" spans="1:27" s="1" customFormat="1">
      <c r="A1552"/>
      <c r="B1552"/>
      <c r="C1552"/>
      <c r="D1552"/>
      <c r="E1552"/>
      <c r="F1552"/>
      <c r="G1552"/>
      <c r="H1552"/>
      <c r="I1552"/>
      <c r="J1552" s="3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  <c r="X1552" s="2"/>
      <c r="Y1552" s="2"/>
      <c r="Z1552" s="2"/>
      <c r="AA1552" s="2"/>
    </row>
    <row r="1553" spans="1:27" s="1" customFormat="1">
      <c r="A1553"/>
      <c r="B1553"/>
      <c r="C1553"/>
      <c r="D1553"/>
      <c r="E1553"/>
      <c r="F1553"/>
      <c r="G1553"/>
      <c r="H1553"/>
      <c r="I1553"/>
      <c r="J1553" s="3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  <c r="X1553" s="2"/>
      <c r="Y1553" s="2"/>
      <c r="Z1553" s="2"/>
      <c r="AA1553" s="2"/>
    </row>
    <row r="1554" spans="1:27" s="1" customFormat="1">
      <c r="A1554"/>
      <c r="B1554"/>
      <c r="C1554"/>
      <c r="D1554"/>
      <c r="E1554"/>
      <c r="F1554"/>
      <c r="G1554"/>
      <c r="H1554"/>
      <c r="I1554"/>
      <c r="J1554" s="3"/>
      <c r="K1554" s="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2"/>
      <c r="W1554" s="12"/>
      <c r="X1554" s="2"/>
      <c r="Y1554" s="2"/>
      <c r="Z1554" s="2"/>
      <c r="AA1554" s="2"/>
    </row>
    <row r="1555" spans="1:27" s="1" customFormat="1">
      <c r="A1555"/>
      <c r="B1555"/>
      <c r="C1555"/>
      <c r="D1555"/>
      <c r="E1555"/>
      <c r="F1555"/>
      <c r="G1555"/>
      <c r="H1555"/>
      <c r="I1555"/>
      <c r="J1555" s="3"/>
      <c r="K1555" s="2"/>
      <c r="L1555" s="14"/>
      <c r="M1555" s="14"/>
      <c r="N1555" s="14"/>
      <c r="O1555" s="12"/>
      <c r="P1555" s="12"/>
      <c r="Q1555" s="12"/>
      <c r="R1555" s="14"/>
      <c r="S1555" s="14"/>
      <c r="T1555" s="12"/>
      <c r="U1555" s="2"/>
      <c r="V1555" s="12"/>
      <c r="W1555" s="2"/>
      <c r="X1555" s="2"/>
      <c r="Y1555" s="2"/>
      <c r="Z1555" s="2"/>
      <c r="AA1555" s="2"/>
    </row>
    <row r="1556" spans="1:27" s="1" customFormat="1">
      <c r="A1556"/>
      <c r="B1556"/>
      <c r="C1556"/>
      <c r="D1556"/>
      <c r="E1556"/>
      <c r="F1556"/>
      <c r="G1556"/>
      <c r="H1556"/>
      <c r="I1556"/>
      <c r="J1556" s="3"/>
      <c r="K1556" s="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3"/>
      <c r="V1556" s="13"/>
      <c r="W1556" s="12"/>
      <c r="X1556" s="2"/>
      <c r="Y1556" s="2"/>
      <c r="Z1556" s="2"/>
      <c r="AA1556" s="2"/>
    </row>
    <row r="1557" spans="1:27" s="1" customFormat="1">
      <c r="A1557"/>
      <c r="B1557"/>
      <c r="C1557"/>
      <c r="D1557"/>
      <c r="E1557"/>
      <c r="F1557"/>
      <c r="G1557"/>
      <c r="H1557"/>
      <c r="I1557"/>
      <c r="J1557" s="3"/>
      <c r="K1557" s="2"/>
      <c r="L1557" s="10"/>
      <c r="M1557" s="10"/>
      <c r="N1557" s="9"/>
      <c r="O1557" s="6"/>
      <c r="P1557" s="8"/>
      <c r="Q1557" s="6"/>
      <c r="R1557" s="8"/>
      <c r="S1557" s="6"/>
      <c r="T1557" s="8"/>
      <c r="U1557" s="7"/>
      <c r="V1557" s="7"/>
      <c r="W1557" s="6"/>
      <c r="X1557" s="2"/>
      <c r="Y1557" s="2"/>
      <c r="Z1557" s="2"/>
      <c r="AA1557" s="2"/>
    </row>
    <row r="1558" spans="1:27" s="1" customFormat="1">
      <c r="A1558"/>
      <c r="B1558"/>
      <c r="C1558"/>
      <c r="D1558"/>
      <c r="E1558"/>
      <c r="F1558"/>
      <c r="G1558"/>
      <c r="H1558"/>
      <c r="I1558"/>
      <c r="J1558" s="3"/>
      <c r="K1558" s="11"/>
      <c r="L1558" s="10"/>
      <c r="M1558" s="10"/>
      <c r="N1558" s="9"/>
      <c r="O1558" s="6"/>
      <c r="P1558" s="8"/>
      <c r="Q1558" s="6"/>
      <c r="R1558" s="8"/>
      <c r="S1558" s="6"/>
      <c r="T1558" s="8"/>
      <c r="U1558" s="7"/>
      <c r="V1558" s="7"/>
      <c r="W1558" s="6"/>
      <c r="X1558" s="2"/>
      <c r="Y1558" s="2"/>
      <c r="Z1558" s="2"/>
      <c r="AA1558" s="2"/>
    </row>
    <row r="1559" spans="1:27" s="1" customFormat="1">
      <c r="A1559"/>
      <c r="B1559"/>
      <c r="C1559"/>
      <c r="D1559"/>
      <c r="E1559"/>
      <c r="F1559"/>
      <c r="G1559"/>
      <c r="H1559"/>
      <c r="I1559"/>
      <c r="J1559" s="3"/>
      <c r="K1559" s="2"/>
      <c r="L1559" s="10"/>
      <c r="M1559" s="10"/>
      <c r="N1559" s="9"/>
      <c r="O1559" s="6"/>
      <c r="P1559" s="8"/>
      <c r="Q1559" s="6"/>
      <c r="R1559" s="8"/>
      <c r="S1559" s="6"/>
      <c r="T1559" s="8"/>
      <c r="U1559" s="7"/>
      <c r="V1559" s="7"/>
      <c r="W1559" s="6"/>
      <c r="X1559" s="2"/>
      <c r="Y1559" s="2"/>
      <c r="Z1559" s="2"/>
      <c r="AA1559" s="2"/>
    </row>
    <row r="1560" spans="1:27" s="1" customFormat="1">
      <c r="A1560"/>
      <c r="B1560"/>
      <c r="C1560"/>
      <c r="D1560"/>
      <c r="E1560"/>
      <c r="F1560"/>
      <c r="G1560"/>
      <c r="H1560"/>
      <c r="I1560"/>
      <c r="J1560" s="3"/>
      <c r="K1560" s="2"/>
      <c r="L1560" s="10"/>
      <c r="M1560" s="10"/>
      <c r="N1560" s="9"/>
      <c r="O1560" s="6"/>
      <c r="P1560" s="8"/>
      <c r="Q1560" s="6"/>
      <c r="R1560" s="8"/>
      <c r="S1560" s="6"/>
      <c r="T1560" s="8"/>
      <c r="U1560" s="7"/>
      <c r="V1560" s="7"/>
      <c r="W1560" s="6"/>
      <c r="X1560" s="2"/>
      <c r="Y1560" s="2"/>
      <c r="Z1560" s="2"/>
      <c r="AA1560" s="2"/>
    </row>
    <row r="1561" spans="1:27" s="1" customFormat="1">
      <c r="A1561"/>
      <c r="B1561"/>
      <c r="C1561"/>
      <c r="D1561"/>
      <c r="E1561"/>
      <c r="F1561"/>
      <c r="G1561"/>
      <c r="H1561"/>
      <c r="I1561"/>
      <c r="J1561" s="3"/>
      <c r="K1561" s="2"/>
      <c r="L1561" s="2"/>
      <c r="M1561" s="2"/>
      <c r="N1561" s="2"/>
      <c r="O1561" s="6"/>
      <c r="P1561" s="8"/>
      <c r="Q1561" s="6"/>
      <c r="R1561" s="8"/>
      <c r="S1561" s="6"/>
      <c r="T1561" s="8"/>
      <c r="U1561" s="7"/>
      <c r="V1561" s="7"/>
      <c r="W1561" s="6"/>
      <c r="X1561" s="2"/>
      <c r="Y1561" s="2"/>
      <c r="Z1561" s="2"/>
      <c r="AA1561" s="2"/>
    </row>
    <row r="1562" spans="1:27" s="1" customFormat="1">
      <c r="A1562"/>
      <c r="B1562"/>
      <c r="C1562"/>
      <c r="D1562"/>
      <c r="E1562"/>
      <c r="F1562"/>
      <c r="G1562"/>
      <c r="H1562"/>
      <c r="I1562"/>
      <c r="J1562" s="3"/>
      <c r="K1562" s="2"/>
      <c r="L1562" s="2"/>
      <c r="M1562" s="2"/>
      <c r="N1562" s="2"/>
      <c r="O1562" s="5"/>
      <c r="P1562" s="4"/>
      <c r="Q1562" s="2"/>
      <c r="R1562" s="2"/>
      <c r="S1562" s="2"/>
      <c r="T1562" s="2"/>
      <c r="U1562" s="2"/>
      <c r="V1562" s="2"/>
      <c r="W1562" s="2"/>
      <c r="X1562" s="2"/>
      <c r="Y1562" s="2"/>
      <c r="Z1562" s="2"/>
      <c r="AA1562" s="2"/>
    </row>
    <row r="1563" spans="1:27" s="1" customFormat="1">
      <c r="A1563"/>
      <c r="B1563"/>
      <c r="C1563"/>
      <c r="D1563"/>
      <c r="E1563"/>
      <c r="F1563"/>
      <c r="G1563"/>
      <c r="H1563"/>
      <c r="I1563"/>
      <c r="J1563" s="3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  <c r="X1563" s="2"/>
      <c r="Y1563" s="2"/>
      <c r="Z1563" s="2"/>
      <c r="AA1563" s="2"/>
    </row>
    <row r="1564" spans="1:27" s="1" customFormat="1">
      <c r="A1564"/>
      <c r="B1564"/>
      <c r="C1564"/>
      <c r="D1564"/>
      <c r="E1564"/>
      <c r="F1564"/>
      <c r="G1564"/>
      <c r="H1564"/>
      <c r="I1564"/>
      <c r="J1564" s="3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  <c r="X1564" s="2"/>
      <c r="Y1564" s="2"/>
      <c r="Z1564" s="2"/>
      <c r="AA1564" s="2"/>
    </row>
    <row r="1565" spans="1:27" s="1" customFormat="1">
      <c r="A1565"/>
      <c r="B1565"/>
      <c r="C1565"/>
      <c r="D1565"/>
      <c r="E1565"/>
      <c r="F1565"/>
      <c r="G1565"/>
      <c r="H1565"/>
      <c r="I1565"/>
      <c r="J1565" s="3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  <c r="X1565" s="2"/>
      <c r="Y1565" s="2"/>
      <c r="Z1565" s="2"/>
      <c r="AA1565" s="2"/>
    </row>
    <row r="1566" spans="1:27" s="1" customFormat="1">
      <c r="A1566"/>
      <c r="B1566"/>
      <c r="C1566"/>
      <c r="D1566"/>
      <c r="E1566"/>
      <c r="F1566"/>
      <c r="G1566"/>
      <c r="H1566"/>
      <c r="I1566"/>
      <c r="J1566" s="3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  <c r="X1566" s="2"/>
      <c r="Y1566" s="2"/>
      <c r="Z1566" s="2"/>
      <c r="AA1566" s="2"/>
    </row>
    <row r="1567" spans="1:27" s="1" customFormat="1">
      <c r="A1567"/>
      <c r="B1567"/>
      <c r="C1567"/>
      <c r="D1567"/>
      <c r="E1567"/>
      <c r="F1567"/>
      <c r="G1567"/>
      <c r="H1567"/>
      <c r="I1567"/>
      <c r="J1567" s="3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  <c r="X1567" s="2"/>
      <c r="Y1567" s="2"/>
      <c r="Z1567" s="2"/>
      <c r="AA1567" s="2"/>
    </row>
    <row r="1568" spans="1:27" s="1" customFormat="1">
      <c r="A1568"/>
      <c r="B1568"/>
      <c r="C1568"/>
      <c r="D1568"/>
      <c r="E1568"/>
      <c r="F1568"/>
      <c r="G1568"/>
      <c r="H1568"/>
      <c r="I1568"/>
      <c r="J1568" s="3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  <c r="X1568" s="2"/>
      <c r="Y1568" s="2"/>
      <c r="Z1568" s="2"/>
      <c r="AA1568" s="2"/>
    </row>
    <row r="1569" spans="1:27" s="1" customFormat="1">
      <c r="A1569"/>
      <c r="B1569"/>
      <c r="C1569"/>
      <c r="D1569"/>
      <c r="E1569"/>
      <c r="F1569"/>
      <c r="G1569"/>
      <c r="H1569"/>
      <c r="I1569"/>
      <c r="J1569" s="3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  <c r="X1569" s="2"/>
      <c r="Y1569" s="2"/>
      <c r="Z1569" s="2"/>
      <c r="AA1569" s="2"/>
    </row>
    <row r="1570" spans="1:27" s="1" customFormat="1">
      <c r="A1570"/>
      <c r="B1570"/>
      <c r="C1570"/>
      <c r="D1570"/>
      <c r="E1570"/>
      <c r="F1570"/>
      <c r="G1570"/>
      <c r="H1570"/>
      <c r="I1570"/>
      <c r="J1570" s="3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  <c r="X1570" s="2"/>
      <c r="Y1570" s="2"/>
      <c r="Z1570" s="2"/>
      <c r="AA1570" s="2"/>
    </row>
    <row r="1571" spans="1:27" s="1" customFormat="1">
      <c r="A1571"/>
      <c r="B1571"/>
      <c r="C1571"/>
      <c r="D1571"/>
      <c r="E1571"/>
      <c r="F1571"/>
      <c r="G1571"/>
      <c r="H1571"/>
      <c r="I1571"/>
      <c r="J1571" s="3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  <c r="X1571" s="2"/>
      <c r="Y1571" s="2"/>
      <c r="Z1571" s="2"/>
      <c r="AA1571" s="2"/>
    </row>
    <row r="1572" spans="1:27" s="1" customFormat="1">
      <c r="A1572"/>
      <c r="B1572"/>
      <c r="C1572"/>
      <c r="D1572"/>
      <c r="E1572"/>
      <c r="F1572"/>
      <c r="G1572"/>
      <c r="H1572"/>
      <c r="I1572"/>
      <c r="J1572" s="3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  <c r="X1572" s="2"/>
      <c r="Y1572" s="2"/>
      <c r="Z1572" s="2"/>
      <c r="AA1572" s="2"/>
    </row>
    <row r="1573" spans="1:27" s="1" customFormat="1">
      <c r="A1573"/>
      <c r="B1573"/>
      <c r="C1573"/>
      <c r="D1573"/>
      <c r="E1573"/>
      <c r="F1573"/>
      <c r="G1573"/>
      <c r="H1573"/>
      <c r="I1573"/>
      <c r="J1573" s="3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  <c r="X1573" s="2"/>
      <c r="Y1573" s="2"/>
      <c r="Z1573" s="2"/>
      <c r="AA1573" s="2"/>
    </row>
    <row r="1574" spans="1:27" s="1" customFormat="1">
      <c r="A1574"/>
      <c r="B1574"/>
      <c r="C1574"/>
      <c r="D1574"/>
      <c r="E1574"/>
      <c r="F1574"/>
      <c r="G1574"/>
      <c r="H1574"/>
      <c r="I1574"/>
      <c r="J1574" s="3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  <c r="X1574" s="2"/>
      <c r="Y1574" s="2"/>
      <c r="Z1574" s="2"/>
      <c r="AA1574" s="2"/>
    </row>
    <row r="1575" spans="1:27" s="1" customFormat="1">
      <c r="A1575"/>
      <c r="B1575"/>
      <c r="C1575"/>
      <c r="D1575"/>
      <c r="E1575"/>
      <c r="F1575"/>
      <c r="G1575"/>
      <c r="H1575"/>
      <c r="I1575"/>
      <c r="J1575" s="3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  <c r="X1575" s="2"/>
      <c r="Y1575" s="2"/>
      <c r="Z1575" s="2"/>
      <c r="AA1575" s="2"/>
    </row>
    <row r="1576" spans="1:27" s="1" customFormat="1">
      <c r="A1576"/>
      <c r="B1576"/>
      <c r="C1576"/>
      <c r="D1576"/>
      <c r="E1576"/>
      <c r="F1576"/>
      <c r="G1576"/>
      <c r="H1576"/>
      <c r="I1576"/>
      <c r="J1576" s="3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  <c r="X1576" s="2"/>
      <c r="Y1576" s="2"/>
      <c r="Z1576" s="2"/>
      <c r="AA1576" s="2"/>
    </row>
    <row r="1577" spans="1:27" s="1" customFormat="1">
      <c r="A1577"/>
      <c r="B1577"/>
      <c r="C1577"/>
      <c r="D1577"/>
      <c r="E1577"/>
      <c r="F1577"/>
      <c r="G1577"/>
      <c r="H1577"/>
      <c r="I1577"/>
      <c r="J1577" s="3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  <c r="X1577" s="2"/>
      <c r="Y1577" s="2"/>
      <c r="Z1577" s="2"/>
      <c r="AA1577" s="2"/>
    </row>
    <row r="1578" spans="1:27" s="1" customFormat="1">
      <c r="A1578"/>
      <c r="B1578"/>
      <c r="C1578"/>
      <c r="D1578"/>
      <c r="E1578"/>
      <c r="F1578"/>
      <c r="G1578"/>
      <c r="H1578"/>
      <c r="I1578"/>
      <c r="J1578" s="3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  <c r="X1578" s="2"/>
      <c r="Y1578" s="2"/>
      <c r="Z1578" s="2"/>
      <c r="AA1578" s="2"/>
    </row>
    <row r="1579" spans="1:27" s="1" customFormat="1">
      <c r="A1579"/>
      <c r="B1579"/>
      <c r="C1579"/>
      <c r="D1579"/>
      <c r="E1579"/>
      <c r="F1579"/>
      <c r="G1579"/>
      <c r="H1579"/>
      <c r="I1579"/>
      <c r="J1579" s="3"/>
      <c r="K1579" s="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2"/>
      <c r="W1579" s="12"/>
      <c r="X1579" s="2"/>
      <c r="Y1579" s="2"/>
      <c r="Z1579" s="2"/>
      <c r="AA1579" s="2"/>
    </row>
    <row r="1580" spans="1:27" s="1" customFormat="1">
      <c r="A1580"/>
      <c r="B1580"/>
      <c r="C1580"/>
      <c r="D1580"/>
      <c r="E1580"/>
      <c r="F1580"/>
      <c r="G1580"/>
      <c r="H1580"/>
      <c r="I1580"/>
      <c r="J1580" s="3"/>
      <c r="K1580" s="2"/>
      <c r="L1580" s="14"/>
      <c r="M1580" s="14"/>
      <c r="N1580" s="14"/>
      <c r="O1580" s="12"/>
      <c r="P1580" s="12"/>
      <c r="Q1580" s="12"/>
      <c r="R1580" s="14"/>
      <c r="S1580" s="14"/>
      <c r="T1580" s="12"/>
      <c r="U1580" s="2"/>
      <c r="V1580" s="12"/>
      <c r="W1580" s="2"/>
      <c r="X1580" s="2"/>
      <c r="Y1580" s="2"/>
      <c r="Z1580" s="2"/>
      <c r="AA1580" s="2"/>
    </row>
    <row r="1581" spans="1:27" s="1" customFormat="1">
      <c r="A1581"/>
      <c r="B1581"/>
      <c r="C1581"/>
      <c r="D1581"/>
      <c r="E1581"/>
      <c r="F1581"/>
      <c r="G1581"/>
      <c r="H1581"/>
      <c r="I1581"/>
      <c r="J1581" s="3"/>
      <c r="K1581" s="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3"/>
      <c r="V1581" s="13"/>
      <c r="W1581" s="12"/>
      <c r="X1581" s="2"/>
      <c r="Y1581" s="2"/>
      <c r="Z1581" s="2"/>
      <c r="AA1581" s="2"/>
    </row>
    <row r="1582" spans="1:27" s="1" customFormat="1">
      <c r="A1582"/>
      <c r="B1582"/>
      <c r="C1582"/>
      <c r="D1582"/>
      <c r="E1582"/>
      <c r="F1582"/>
      <c r="G1582"/>
      <c r="H1582"/>
      <c r="I1582"/>
      <c r="J1582" s="3"/>
      <c r="K1582" s="2"/>
      <c r="L1582" s="10"/>
      <c r="M1582" s="10"/>
      <c r="N1582" s="9"/>
      <c r="O1582" s="6"/>
      <c r="P1582" s="8"/>
      <c r="Q1582" s="6"/>
      <c r="R1582" s="8"/>
      <c r="S1582" s="6"/>
      <c r="T1582" s="8"/>
      <c r="U1582" s="7"/>
      <c r="V1582" s="7"/>
      <c r="W1582" s="6"/>
      <c r="X1582" s="2"/>
      <c r="Y1582" s="2"/>
      <c r="Z1582" s="2"/>
      <c r="AA1582" s="2"/>
    </row>
    <row r="1583" spans="1:27" s="1" customFormat="1">
      <c r="A1583"/>
      <c r="B1583"/>
      <c r="C1583"/>
      <c r="D1583"/>
      <c r="E1583"/>
      <c r="F1583"/>
      <c r="G1583"/>
      <c r="H1583"/>
      <c r="I1583"/>
      <c r="J1583" s="3"/>
      <c r="K1583" s="11"/>
      <c r="L1583" s="10"/>
      <c r="M1583" s="10"/>
      <c r="N1583" s="9"/>
      <c r="O1583" s="6"/>
      <c r="P1583" s="8"/>
      <c r="Q1583" s="6"/>
      <c r="R1583" s="8"/>
      <c r="S1583" s="6"/>
      <c r="T1583" s="8"/>
      <c r="U1583" s="7"/>
      <c r="V1583" s="7"/>
      <c r="W1583" s="6"/>
      <c r="X1583" s="2"/>
      <c r="Y1583" s="2"/>
      <c r="Z1583" s="2"/>
      <c r="AA1583" s="2"/>
    </row>
    <row r="1584" spans="1:27" s="1" customFormat="1">
      <c r="A1584"/>
      <c r="B1584"/>
      <c r="C1584"/>
      <c r="D1584"/>
      <c r="E1584"/>
      <c r="F1584"/>
      <c r="G1584"/>
      <c r="H1584"/>
      <c r="I1584"/>
      <c r="J1584" s="3"/>
      <c r="K1584" s="2"/>
      <c r="L1584" s="10"/>
      <c r="M1584" s="10"/>
      <c r="N1584" s="9"/>
      <c r="O1584" s="6"/>
      <c r="P1584" s="8"/>
      <c r="Q1584" s="6"/>
      <c r="R1584" s="8"/>
      <c r="S1584" s="6"/>
      <c r="T1584" s="8"/>
      <c r="U1584" s="7"/>
      <c r="V1584" s="7"/>
      <c r="W1584" s="6"/>
      <c r="X1584" s="2"/>
      <c r="Y1584" s="2"/>
      <c r="Z1584" s="2"/>
      <c r="AA1584" s="2"/>
    </row>
    <row r="1585" spans="1:27" s="1" customFormat="1">
      <c r="A1585"/>
      <c r="B1585"/>
      <c r="C1585"/>
      <c r="D1585"/>
      <c r="E1585"/>
      <c r="F1585"/>
      <c r="G1585"/>
      <c r="H1585"/>
      <c r="I1585"/>
      <c r="K1585" s="2"/>
      <c r="L1585" s="10"/>
      <c r="M1585" s="10"/>
      <c r="N1585" s="9"/>
      <c r="O1585" s="6"/>
      <c r="P1585" s="8"/>
      <c r="Q1585" s="6"/>
      <c r="R1585" s="8"/>
      <c r="S1585" s="6"/>
      <c r="T1585" s="8"/>
      <c r="U1585" s="7"/>
      <c r="V1585" s="7"/>
      <c r="W1585" s="6"/>
      <c r="X1585" s="2"/>
      <c r="Y1585" s="2"/>
      <c r="Z1585" s="2"/>
      <c r="AA1585" s="2"/>
    </row>
    <row r="1586" spans="1:27" s="1" customFormat="1">
      <c r="A1586"/>
      <c r="B1586"/>
      <c r="C1586"/>
      <c r="D1586"/>
      <c r="E1586"/>
      <c r="F1586"/>
      <c r="G1586"/>
      <c r="H1586"/>
      <c r="I1586"/>
      <c r="K1586" s="2"/>
      <c r="L1586" s="2"/>
      <c r="M1586" s="2"/>
      <c r="N1586" s="2"/>
      <c r="O1586" s="6"/>
      <c r="P1586" s="8"/>
      <c r="Q1586" s="6"/>
      <c r="R1586" s="8"/>
      <c r="S1586" s="6"/>
      <c r="T1586" s="8"/>
      <c r="U1586" s="7"/>
      <c r="V1586" s="7"/>
      <c r="W1586" s="6"/>
      <c r="X1586" s="2"/>
      <c r="Y1586" s="2"/>
      <c r="Z1586" s="2"/>
      <c r="AA1586" s="2"/>
    </row>
    <row r="1587" spans="1:27" s="1" customFormat="1">
      <c r="A1587"/>
      <c r="B1587"/>
      <c r="C1587"/>
      <c r="D1587"/>
      <c r="E1587"/>
      <c r="F1587"/>
      <c r="G1587"/>
      <c r="H1587"/>
      <c r="I1587"/>
      <c r="K1587" s="2"/>
      <c r="L1587" s="2"/>
      <c r="M1587" s="2"/>
      <c r="N1587" s="2"/>
      <c r="O1587" s="5"/>
      <c r="P1587" s="4"/>
      <c r="Q1587" s="2"/>
      <c r="R1587" s="2"/>
      <c r="S1587" s="2"/>
      <c r="T1587" s="2"/>
      <c r="U1587" s="2"/>
      <c r="V1587" s="2"/>
      <c r="W1587" s="2"/>
      <c r="X1587" s="2"/>
      <c r="Y1587" s="2"/>
      <c r="Z1587" s="2"/>
      <c r="AA1587" s="2"/>
    </row>
    <row r="1588" spans="1:27" s="1" customFormat="1">
      <c r="A1588"/>
      <c r="B1588"/>
      <c r="C1588"/>
      <c r="D1588"/>
      <c r="E1588"/>
      <c r="F1588"/>
      <c r="G1588"/>
      <c r="H1588"/>
      <c r="I1588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  <c r="X1588" s="2"/>
      <c r="Y1588" s="2"/>
      <c r="Z1588" s="2"/>
      <c r="AA1588" s="2"/>
    </row>
    <row r="1589" spans="1:27" s="1" customFormat="1">
      <c r="A1589"/>
      <c r="B1589"/>
      <c r="C1589"/>
      <c r="D1589"/>
      <c r="E1589"/>
      <c r="F1589"/>
      <c r="G1589"/>
      <c r="H1589"/>
      <c r="I1589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  <c r="X1589" s="2"/>
      <c r="Y1589" s="2"/>
      <c r="Z1589" s="2"/>
      <c r="AA1589" s="2"/>
    </row>
    <row r="1590" spans="1:27" s="1" customFormat="1">
      <c r="A1590"/>
      <c r="B1590"/>
      <c r="C1590"/>
      <c r="D1590"/>
      <c r="E1590"/>
      <c r="F1590"/>
      <c r="G1590"/>
      <c r="H1590"/>
      <c r="I1590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  <c r="X1590" s="2"/>
      <c r="Y1590" s="2"/>
      <c r="Z1590" s="2"/>
      <c r="AA1590" s="2"/>
    </row>
    <row r="1591" spans="1:27" s="1" customFormat="1">
      <c r="A1591"/>
      <c r="B1591"/>
      <c r="C1591"/>
      <c r="D1591"/>
      <c r="E1591"/>
      <c r="F1591"/>
      <c r="G1591"/>
      <c r="H1591"/>
      <c r="I1591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  <c r="X1591" s="2"/>
      <c r="Y1591" s="2"/>
      <c r="Z1591" s="2"/>
      <c r="AA1591" s="2"/>
    </row>
    <row r="1592" spans="1:27" s="1" customFormat="1">
      <c r="A1592"/>
      <c r="B1592"/>
      <c r="C1592"/>
      <c r="D1592"/>
      <c r="E1592"/>
      <c r="F1592"/>
      <c r="G1592"/>
      <c r="H1592"/>
      <c r="I159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  <c r="X1592" s="2"/>
      <c r="Y1592" s="2"/>
      <c r="Z1592" s="2"/>
      <c r="AA1592" s="2"/>
    </row>
    <row r="1593" spans="1:27" s="1" customFormat="1">
      <c r="A1593"/>
      <c r="B1593"/>
      <c r="C1593"/>
      <c r="D1593"/>
      <c r="E1593"/>
      <c r="F1593"/>
      <c r="G1593"/>
      <c r="H1593"/>
      <c r="I1593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  <c r="X1593" s="2"/>
      <c r="Y1593" s="2"/>
      <c r="Z1593" s="2"/>
      <c r="AA1593" s="2"/>
    </row>
    <row r="1594" spans="1:27" s="1" customFormat="1">
      <c r="A1594"/>
      <c r="B1594"/>
      <c r="C1594"/>
      <c r="D1594"/>
      <c r="E1594"/>
      <c r="F1594"/>
      <c r="G1594"/>
      <c r="H1594"/>
      <c r="I1594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  <c r="X1594" s="2"/>
      <c r="Y1594" s="2"/>
      <c r="Z1594" s="2"/>
      <c r="AA1594" s="2"/>
    </row>
    <row r="1595" spans="1:27" s="1" customFormat="1">
      <c r="A1595"/>
      <c r="B1595"/>
      <c r="C1595"/>
      <c r="D1595"/>
      <c r="E1595"/>
      <c r="F1595"/>
      <c r="G1595"/>
      <c r="H1595"/>
      <c r="I1595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  <c r="X1595" s="2"/>
      <c r="Y1595" s="2"/>
      <c r="Z1595" s="2"/>
      <c r="AA1595" s="2"/>
    </row>
    <row r="1596" spans="1:27" s="1" customFormat="1">
      <c r="A1596"/>
      <c r="B1596"/>
      <c r="C1596"/>
      <c r="D1596"/>
      <c r="E1596"/>
      <c r="F1596"/>
      <c r="G1596"/>
      <c r="H1596"/>
      <c r="I1596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  <c r="X1596" s="2"/>
      <c r="Y1596" s="2"/>
      <c r="Z1596" s="2"/>
      <c r="AA1596" s="2"/>
    </row>
    <row r="1597" spans="1:27" s="1" customFormat="1">
      <c r="A1597"/>
      <c r="B1597"/>
      <c r="C1597"/>
      <c r="D1597"/>
      <c r="E1597"/>
      <c r="F1597"/>
      <c r="G1597"/>
      <c r="H1597"/>
      <c r="I1597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  <c r="X1597" s="2"/>
      <c r="Y1597" s="2"/>
      <c r="Z1597" s="2"/>
      <c r="AA1597" s="2"/>
    </row>
    <row r="1598" spans="1:27" s="1" customFormat="1">
      <c r="A1598"/>
      <c r="B1598"/>
      <c r="C1598"/>
      <c r="D1598"/>
      <c r="E1598"/>
      <c r="F1598"/>
      <c r="G1598"/>
      <c r="H1598"/>
      <c r="I1598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  <c r="X1598" s="2"/>
      <c r="Y1598" s="2"/>
      <c r="Z1598" s="2"/>
      <c r="AA1598" s="2"/>
    </row>
    <row r="1599" spans="1:27" s="1" customFormat="1">
      <c r="A1599"/>
      <c r="B1599"/>
      <c r="C1599"/>
      <c r="D1599"/>
      <c r="E1599"/>
      <c r="F1599"/>
      <c r="G1599"/>
      <c r="H1599"/>
      <c r="I1599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  <c r="X1599" s="2"/>
      <c r="Y1599" s="2"/>
      <c r="Z1599" s="2"/>
      <c r="AA1599" s="2"/>
    </row>
    <row r="1600" spans="1:27" s="1" customFormat="1">
      <c r="A1600"/>
      <c r="B1600"/>
      <c r="C1600"/>
      <c r="D1600"/>
      <c r="E1600"/>
      <c r="F1600"/>
      <c r="G1600"/>
      <c r="H1600"/>
      <c r="I1600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  <c r="X1600" s="2"/>
      <c r="Y1600" s="2"/>
      <c r="Z1600" s="2"/>
      <c r="AA1600" s="2"/>
    </row>
    <row r="1601" spans="1:27" s="1" customFormat="1">
      <c r="A1601"/>
      <c r="B1601"/>
      <c r="C1601"/>
      <c r="D1601"/>
      <c r="E1601"/>
      <c r="F1601"/>
      <c r="G1601"/>
      <c r="H1601"/>
      <c r="I1601"/>
      <c r="J1601" s="3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  <c r="X1601" s="2"/>
      <c r="Y1601" s="2"/>
      <c r="Z1601" s="2"/>
      <c r="AA1601" s="2"/>
    </row>
    <row r="1602" spans="1:27" s="1" customFormat="1">
      <c r="A1602"/>
      <c r="B1602"/>
      <c r="C1602"/>
      <c r="D1602"/>
      <c r="E1602"/>
      <c r="F1602"/>
      <c r="G1602"/>
      <c r="H1602"/>
      <c r="I1602"/>
      <c r="J1602" s="3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  <c r="X1602" s="2"/>
      <c r="Y1602" s="2"/>
      <c r="Z1602" s="2"/>
      <c r="AA1602" s="2"/>
    </row>
    <row r="1603" spans="1:27" s="1" customFormat="1">
      <c r="A1603"/>
      <c r="B1603"/>
      <c r="C1603"/>
      <c r="D1603"/>
      <c r="E1603"/>
      <c r="F1603"/>
      <c r="G1603"/>
      <c r="H1603"/>
      <c r="I1603"/>
      <c r="J1603" s="3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  <c r="X1603" s="2"/>
      <c r="Y1603" s="2"/>
      <c r="Z1603" s="2"/>
      <c r="AA1603" s="2"/>
    </row>
    <row r="1604" spans="1:27" s="1" customFormat="1">
      <c r="A1604"/>
      <c r="B1604"/>
      <c r="C1604"/>
      <c r="D1604"/>
      <c r="E1604"/>
      <c r="F1604"/>
      <c r="G1604"/>
      <c r="H1604"/>
      <c r="I1604"/>
      <c r="J1604" s="3"/>
      <c r="K1604" s="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2"/>
      <c r="W1604" s="12"/>
      <c r="X1604" s="2"/>
      <c r="Y1604" s="2"/>
      <c r="Z1604" s="2"/>
      <c r="AA1604" s="2"/>
    </row>
    <row r="1605" spans="1:27" s="1" customFormat="1">
      <c r="A1605"/>
      <c r="B1605"/>
      <c r="C1605"/>
      <c r="D1605"/>
      <c r="E1605"/>
      <c r="F1605"/>
      <c r="G1605"/>
      <c r="H1605"/>
      <c r="I1605"/>
      <c r="J1605" s="3"/>
      <c r="K1605" s="2"/>
      <c r="L1605" s="14"/>
      <c r="M1605" s="14"/>
      <c r="N1605" s="14"/>
      <c r="O1605" s="12"/>
      <c r="P1605" s="12"/>
      <c r="Q1605" s="12"/>
      <c r="R1605" s="14"/>
      <c r="S1605" s="14"/>
      <c r="T1605" s="12"/>
      <c r="U1605" s="2"/>
      <c r="V1605" s="12"/>
      <c r="W1605" s="2"/>
      <c r="X1605" s="2"/>
      <c r="Y1605" s="2"/>
      <c r="Z1605" s="2"/>
      <c r="AA1605" s="2"/>
    </row>
    <row r="1606" spans="1:27" s="1" customFormat="1">
      <c r="A1606"/>
      <c r="B1606"/>
      <c r="C1606"/>
      <c r="D1606"/>
      <c r="E1606"/>
      <c r="F1606"/>
      <c r="G1606"/>
      <c r="H1606"/>
      <c r="I1606"/>
      <c r="J1606" s="3"/>
      <c r="K1606" s="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3"/>
      <c r="V1606" s="13"/>
      <c r="W1606" s="12"/>
      <c r="X1606" s="2"/>
      <c r="Y1606" s="2"/>
      <c r="Z1606" s="2"/>
      <c r="AA1606" s="2"/>
    </row>
    <row r="1607" spans="1:27" s="1" customFormat="1">
      <c r="A1607"/>
      <c r="B1607"/>
      <c r="C1607"/>
      <c r="D1607"/>
      <c r="E1607"/>
      <c r="F1607"/>
      <c r="G1607"/>
      <c r="H1607"/>
      <c r="I1607"/>
      <c r="J1607" s="3"/>
      <c r="K1607" s="2"/>
      <c r="L1607" s="10"/>
      <c r="M1607" s="10"/>
      <c r="N1607" s="9"/>
      <c r="O1607" s="6"/>
      <c r="P1607" s="8"/>
      <c r="Q1607" s="6"/>
      <c r="R1607" s="8"/>
      <c r="S1607" s="6"/>
      <c r="T1607" s="8"/>
      <c r="U1607" s="7"/>
      <c r="V1607" s="7"/>
      <c r="W1607" s="6"/>
      <c r="X1607" s="2"/>
      <c r="Y1607" s="2"/>
      <c r="Z1607" s="2"/>
      <c r="AA1607" s="2"/>
    </row>
    <row r="1608" spans="1:27" s="1" customFormat="1">
      <c r="A1608"/>
      <c r="B1608"/>
      <c r="C1608"/>
      <c r="D1608"/>
      <c r="E1608"/>
      <c r="F1608"/>
      <c r="G1608"/>
      <c r="H1608"/>
      <c r="I1608"/>
      <c r="J1608" s="3"/>
      <c r="K1608" s="11"/>
      <c r="L1608" s="10"/>
      <c r="M1608" s="10"/>
      <c r="N1608" s="9"/>
      <c r="O1608" s="6"/>
      <c r="P1608" s="8"/>
      <c r="Q1608" s="6"/>
      <c r="R1608" s="8"/>
      <c r="S1608" s="6"/>
      <c r="T1608" s="8"/>
      <c r="U1608" s="7"/>
      <c r="V1608" s="7"/>
      <c r="W1608" s="6"/>
      <c r="X1608" s="2"/>
      <c r="Y1608" s="2"/>
      <c r="Z1608" s="2"/>
      <c r="AA1608" s="2"/>
    </row>
    <row r="1609" spans="1:27" s="1" customFormat="1">
      <c r="A1609"/>
      <c r="B1609"/>
      <c r="C1609"/>
      <c r="D1609"/>
      <c r="E1609"/>
      <c r="F1609"/>
      <c r="G1609"/>
      <c r="H1609"/>
      <c r="I1609"/>
      <c r="J1609" s="3"/>
      <c r="K1609" s="2"/>
      <c r="L1609" s="10"/>
      <c r="M1609" s="10"/>
      <c r="N1609" s="9"/>
      <c r="O1609" s="6"/>
      <c r="P1609" s="8"/>
      <c r="Q1609" s="6"/>
      <c r="R1609" s="8"/>
      <c r="S1609" s="6"/>
      <c r="T1609" s="8"/>
      <c r="U1609" s="7"/>
      <c r="V1609" s="7"/>
      <c r="W1609" s="6"/>
      <c r="X1609" s="2"/>
      <c r="Y1609" s="2"/>
      <c r="Z1609" s="2"/>
      <c r="AA1609" s="2"/>
    </row>
    <row r="1610" spans="1:27" s="1" customFormat="1">
      <c r="A1610"/>
      <c r="B1610"/>
      <c r="C1610"/>
      <c r="D1610"/>
      <c r="E1610"/>
      <c r="F1610"/>
      <c r="G1610"/>
      <c r="H1610"/>
      <c r="I1610"/>
      <c r="J1610" s="3"/>
      <c r="K1610" s="2"/>
      <c r="L1610" s="10"/>
      <c r="M1610" s="10"/>
      <c r="N1610" s="9"/>
      <c r="O1610" s="6"/>
      <c r="P1610" s="8"/>
      <c r="Q1610" s="6"/>
      <c r="R1610" s="8"/>
      <c r="S1610" s="6"/>
      <c r="T1610" s="8"/>
      <c r="U1610" s="7"/>
      <c r="V1610" s="7"/>
      <c r="W1610" s="6"/>
      <c r="X1610" s="2"/>
      <c r="Y1610" s="2"/>
      <c r="Z1610" s="2"/>
      <c r="AA1610" s="2"/>
    </row>
    <row r="1611" spans="1:27" s="1" customFormat="1">
      <c r="A1611"/>
      <c r="B1611"/>
      <c r="C1611"/>
      <c r="D1611"/>
      <c r="E1611"/>
      <c r="F1611"/>
      <c r="G1611"/>
      <c r="H1611"/>
      <c r="I1611"/>
      <c r="J1611" s="3"/>
      <c r="K1611" s="2"/>
      <c r="L1611" s="2"/>
      <c r="M1611" s="2"/>
      <c r="N1611" s="2"/>
      <c r="O1611" s="6"/>
      <c r="P1611" s="8"/>
      <c r="Q1611" s="6"/>
      <c r="R1611" s="8"/>
      <c r="S1611" s="6"/>
      <c r="T1611" s="8"/>
      <c r="U1611" s="7"/>
      <c r="V1611" s="7"/>
      <c r="W1611" s="6"/>
      <c r="X1611" s="2"/>
      <c r="Y1611" s="2"/>
      <c r="Z1611" s="2"/>
      <c r="AA1611" s="2"/>
    </row>
    <row r="1612" spans="1:27" s="1" customFormat="1">
      <c r="A1612"/>
      <c r="B1612"/>
      <c r="C1612"/>
      <c r="D1612"/>
      <c r="E1612"/>
      <c r="F1612"/>
      <c r="G1612"/>
      <c r="H1612"/>
      <c r="I1612"/>
      <c r="J1612" s="3"/>
      <c r="K1612" s="2"/>
      <c r="L1612" s="2"/>
      <c r="M1612" s="2"/>
      <c r="N1612" s="2"/>
      <c r="O1612" s="5"/>
      <c r="P1612" s="4"/>
      <c r="Q1612" s="2"/>
      <c r="R1612" s="2"/>
      <c r="S1612" s="2"/>
      <c r="T1612" s="2"/>
      <c r="U1612" s="2"/>
      <c r="V1612" s="2"/>
      <c r="W1612" s="2"/>
      <c r="X1612" s="2"/>
      <c r="Y1612" s="2"/>
      <c r="Z1612" s="2"/>
      <c r="AA1612" s="2"/>
    </row>
    <row r="1613" spans="1:27" s="1" customFormat="1">
      <c r="A1613"/>
      <c r="B1613"/>
      <c r="C1613"/>
      <c r="D1613"/>
      <c r="E1613"/>
      <c r="F1613"/>
      <c r="G1613"/>
      <c r="H1613"/>
      <c r="I1613"/>
      <c r="J1613" s="3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  <c r="X1613" s="2"/>
      <c r="Y1613" s="2"/>
      <c r="Z1613" s="2"/>
      <c r="AA1613" s="2"/>
    </row>
    <row r="1614" spans="1:27" s="1" customFormat="1">
      <c r="A1614"/>
      <c r="B1614"/>
      <c r="C1614"/>
      <c r="D1614"/>
      <c r="E1614"/>
      <c r="F1614"/>
      <c r="G1614"/>
      <c r="H1614"/>
      <c r="I1614"/>
      <c r="J1614" s="3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  <c r="X1614" s="2"/>
      <c r="Y1614" s="2"/>
      <c r="Z1614" s="2"/>
      <c r="AA1614" s="2"/>
    </row>
    <row r="1615" spans="1:27" s="1" customFormat="1">
      <c r="A1615"/>
      <c r="B1615"/>
      <c r="C1615"/>
      <c r="D1615"/>
      <c r="E1615"/>
      <c r="F1615"/>
      <c r="G1615"/>
      <c r="H1615"/>
      <c r="I1615"/>
      <c r="J1615" s="3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  <c r="X1615" s="2"/>
      <c r="Y1615" s="2"/>
      <c r="Z1615" s="2"/>
      <c r="AA1615" s="2"/>
    </row>
    <row r="1616" spans="1:27" s="1" customFormat="1">
      <c r="A1616"/>
      <c r="B1616"/>
      <c r="C1616"/>
      <c r="D1616"/>
      <c r="E1616"/>
      <c r="F1616"/>
      <c r="G1616"/>
      <c r="H1616"/>
      <c r="I1616"/>
      <c r="J1616" s="3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  <c r="X1616" s="2"/>
      <c r="Y1616" s="2"/>
      <c r="Z1616" s="2"/>
      <c r="AA1616" s="2"/>
    </row>
    <row r="1617" spans="1:27" s="1" customFormat="1">
      <c r="A1617"/>
      <c r="B1617"/>
      <c r="C1617"/>
      <c r="D1617"/>
      <c r="E1617"/>
      <c r="F1617"/>
      <c r="G1617"/>
      <c r="H1617"/>
      <c r="I1617"/>
      <c r="J1617" s="3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  <c r="X1617" s="2"/>
      <c r="Y1617" s="2"/>
      <c r="Z1617" s="2"/>
      <c r="AA1617" s="2"/>
    </row>
    <row r="1618" spans="1:27" s="1" customFormat="1">
      <c r="A1618"/>
      <c r="B1618"/>
      <c r="C1618"/>
      <c r="D1618"/>
      <c r="E1618"/>
      <c r="F1618"/>
      <c r="G1618"/>
      <c r="H1618"/>
      <c r="I1618"/>
      <c r="J1618" s="3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  <c r="X1618" s="2"/>
      <c r="Y1618" s="2"/>
      <c r="Z1618" s="2"/>
      <c r="AA1618" s="2"/>
    </row>
    <row r="1619" spans="1:27" s="1" customFormat="1">
      <c r="A1619"/>
      <c r="B1619"/>
      <c r="C1619"/>
      <c r="D1619"/>
      <c r="E1619"/>
      <c r="F1619"/>
      <c r="G1619"/>
      <c r="H1619"/>
      <c r="I1619"/>
      <c r="J1619" s="3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  <c r="X1619" s="2"/>
      <c r="Y1619" s="2"/>
      <c r="Z1619" s="2"/>
      <c r="AA1619" s="2"/>
    </row>
    <row r="1620" spans="1:27" s="1" customFormat="1">
      <c r="A1620"/>
      <c r="B1620"/>
      <c r="C1620"/>
      <c r="D1620"/>
      <c r="E1620"/>
      <c r="F1620"/>
      <c r="G1620"/>
      <c r="H1620"/>
      <c r="I1620"/>
      <c r="J1620" s="3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  <c r="X1620" s="2"/>
      <c r="Y1620" s="2"/>
      <c r="Z1620" s="2"/>
      <c r="AA1620" s="2"/>
    </row>
    <row r="1621" spans="1:27" s="1" customFormat="1">
      <c r="A1621"/>
      <c r="B1621"/>
      <c r="C1621"/>
      <c r="D1621"/>
      <c r="E1621"/>
      <c r="F1621"/>
      <c r="G1621"/>
      <c r="H1621"/>
      <c r="I1621"/>
      <c r="J1621" s="3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  <c r="X1621" s="2"/>
      <c r="Y1621" s="2"/>
      <c r="Z1621" s="2"/>
      <c r="AA1621" s="2"/>
    </row>
    <row r="1622" spans="1:27" s="1" customFormat="1">
      <c r="A1622"/>
      <c r="B1622"/>
      <c r="C1622"/>
      <c r="D1622"/>
      <c r="E1622"/>
      <c r="F1622"/>
      <c r="G1622"/>
      <c r="H1622"/>
      <c r="I1622"/>
      <c r="J1622" s="3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  <c r="X1622" s="2"/>
      <c r="Y1622" s="2"/>
      <c r="Z1622" s="2"/>
      <c r="AA1622" s="2"/>
    </row>
    <row r="1623" spans="1:27" s="1" customFormat="1">
      <c r="A1623"/>
      <c r="B1623"/>
      <c r="C1623"/>
      <c r="D1623"/>
      <c r="E1623"/>
      <c r="F1623"/>
      <c r="G1623"/>
      <c r="H1623"/>
      <c r="I1623"/>
      <c r="J1623" s="3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  <c r="X1623" s="2"/>
      <c r="Y1623" s="2"/>
      <c r="Z1623" s="2"/>
      <c r="AA1623" s="2"/>
    </row>
    <row r="1624" spans="1:27" s="1" customFormat="1">
      <c r="A1624"/>
      <c r="B1624"/>
      <c r="C1624"/>
      <c r="D1624"/>
      <c r="E1624"/>
      <c r="F1624"/>
      <c r="G1624"/>
      <c r="H1624"/>
      <c r="I1624"/>
      <c r="J1624" s="3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  <c r="X1624" s="2"/>
      <c r="Y1624" s="2"/>
      <c r="Z1624" s="2"/>
      <c r="AA1624" s="2"/>
    </row>
    <row r="1625" spans="1:27" s="1" customFormat="1">
      <c r="A1625"/>
      <c r="B1625"/>
      <c r="C1625"/>
      <c r="D1625"/>
      <c r="E1625"/>
      <c r="F1625"/>
      <c r="G1625"/>
      <c r="H1625"/>
      <c r="I1625"/>
      <c r="J1625" s="3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  <c r="X1625" s="2"/>
      <c r="Y1625" s="2"/>
      <c r="Z1625" s="2"/>
      <c r="AA1625" s="2"/>
    </row>
    <row r="1626" spans="1:27" s="1" customFormat="1">
      <c r="A1626"/>
      <c r="B1626"/>
      <c r="C1626"/>
      <c r="D1626"/>
      <c r="E1626"/>
      <c r="F1626"/>
      <c r="G1626"/>
      <c r="H1626"/>
      <c r="I1626"/>
      <c r="J1626" s="3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  <c r="X1626" s="2"/>
      <c r="Y1626" s="2"/>
      <c r="Z1626" s="2"/>
      <c r="AA1626" s="2"/>
    </row>
    <row r="1627" spans="1:27" s="1" customFormat="1">
      <c r="A1627"/>
      <c r="B1627"/>
      <c r="C1627"/>
      <c r="D1627"/>
      <c r="E1627"/>
      <c r="F1627"/>
      <c r="G1627"/>
      <c r="H1627"/>
      <c r="I1627"/>
      <c r="J1627" s="3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  <c r="X1627" s="2"/>
      <c r="Y1627" s="2"/>
      <c r="Z1627" s="2"/>
      <c r="AA1627" s="2"/>
    </row>
    <row r="1628" spans="1:27" s="1" customFormat="1">
      <c r="A1628"/>
      <c r="B1628"/>
      <c r="C1628"/>
      <c r="D1628"/>
      <c r="E1628"/>
      <c r="F1628"/>
      <c r="G1628"/>
      <c r="H1628"/>
      <c r="I1628"/>
      <c r="J1628" s="3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  <c r="X1628" s="2"/>
      <c r="Y1628" s="2"/>
      <c r="Z1628" s="2"/>
      <c r="AA1628" s="2"/>
    </row>
    <row r="1629" spans="1:27" s="1" customFormat="1">
      <c r="A1629"/>
      <c r="B1629"/>
      <c r="C1629"/>
      <c r="D1629"/>
      <c r="E1629"/>
      <c r="F1629"/>
      <c r="G1629"/>
      <c r="H1629"/>
      <c r="I1629"/>
      <c r="J1629" s="3"/>
      <c r="K1629" s="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2"/>
      <c r="W1629" s="12"/>
      <c r="X1629" s="2"/>
      <c r="Y1629" s="2"/>
      <c r="Z1629" s="2"/>
      <c r="AA1629" s="2"/>
    </row>
    <row r="1630" spans="1:27" s="1" customFormat="1">
      <c r="A1630"/>
      <c r="B1630"/>
      <c r="C1630"/>
      <c r="D1630"/>
      <c r="E1630"/>
      <c r="F1630"/>
      <c r="G1630"/>
      <c r="H1630"/>
      <c r="I1630"/>
      <c r="J1630" s="3"/>
      <c r="K1630" s="2"/>
      <c r="L1630" s="14"/>
      <c r="M1630" s="14"/>
      <c r="N1630" s="14"/>
      <c r="O1630" s="12"/>
      <c r="P1630" s="12"/>
      <c r="Q1630" s="12"/>
      <c r="R1630" s="14"/>
      <c r="S1630" s="14"/>
      <c r="T1630" s="12"/>
      <c r="U1630" s="2"/>
      <c r="V1630" s="12"/>
      <c r="W1630" s="2"/>
      <c r="X1630" s="2"/>
      <c r="Y1630" s="2"/>
      <c r="Z1630" s="2"/>
      <c r="AA1630" s="2"/>
    </row>
    <row r="1631" spans="1:27" s="1" customFormat="1">
      <c r="A1631"/>
      <c r="B1631"/>
      <c r="C1631"/>
      <c r="D1631"/>
      <c r="E1631"/>
      <c r="F1631"/>
      <c r="G1631"/>
      <c r="H1631"/>
      <c r="I1631"/>
      <c r="J1631" s="3"/>
      <c r="K1631" s="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3"/>
      <c r="V1631" s="13"/>
      <c r="W1631" s="12"/>
      <c r="X1631" s="2"/>
      <c r="Y1631" s="2"/>
      <c r="Z1631" s="2"/>
      <c r="AA1631" s="2"/>
    </row>
    <row r="1632" spans="1:27" s="1" customFormat="1">
      <c r="A1632"/>
      <c r="B1632"/>
      <c r="C1632"/>
      <c r="D1632"/>
      <c r="E1632"/>
      <c r="F1632"/>
      <c r="G1632"/>
      <c r="H1632"/>
      <c r="I1632"/>
      <c r="J1632" s="3"/>
      <c r="K1632" s="2"/>
      <c r="L1632" s="10"/>
      <c r="M1632" s="10"/>
      <c r="N1632" s="9"/>
      <c r="O1632" s="6"/>
      <c r="P1632" s="8"/>
      <c r="Q1632" s="6"/>
      <c r="R1632" s="8"/>
      <c r="S1632" s="6"/>
      <c r="T1632" s="8"/>
      <c r="U1632" s="7"/>
      <c r="V1632" s="7"/>
      <c r="W1632" s="6"/>
      <c r="X1632" s="2"/>
      <c r="Y1632" s="2"/>
      <c r="Z1632" s="2"/>
      <c r="AA1632" s="2"/>
    </row>
    <row r="1633" spans="1:27" s="1" customFormat="1">
      <c r="A1633"/>
      <c r="B1633"/>
      <c r="C1633"/>
      <c r="D1633"/>
      <c r="E1633"/>
      <c r="F1633"/>
      <c r="G1633"/>
      <c r="H1633"/>
      <c r="I1633"/>
      <c r="J1633" s="3"/>
      <c r="K1633" s="11"/>
      <c r="L1633" s="10"/>
      <c r="M1633" s="10"/>
      <c r="N1633" s="9"/>
      <c r="O1633" s="6"/>
      <c r="P1633" s="8"/>
      <c r="Q1633" s="6"/>
      <c r="R1633" s="8"/>
      <c r="S1633" s="6"/>
      <c r="T1633" s="8"/>
      <c r="U1633" s="7"/>
      <c r="V1633" s="7"/>
      <c r="W1633" s="6"/>
      <c r="X1633" s="2"/>
      <c r="Y1633" s="2"/>
      <c r="Z1633" s="2"/>
      <c r="AA1633" s="2"/>
    </row>
    <row r="1634" spans="1:27" s="1" customFormat="1">
      <c r="A1634"/>
      <c r="B1634"/>
      <c r="C1634"/>
      <c r="D1634"/>
      <c r="E1634"/>
      <c r="F1634"/>
      <c r="G1634"/>
      <c r="H1634"/>
      <c r="I1634"/>
      <c r="J1634" s="3"/>
      <c r="K1634" s="2"/>
      <c r="L1634" s="10"/>
      <c r="M1634" s="10"/>
      <c r="N1634" s="9"/>
      <c r="O1634" s="6"/>
      <c r="P1634" s="8"/>
      <c r="Q1634" s="6"/>
      <c r="R1634" s="8"/>
      <c r="S1634" s="6"/>
      <c r="T1634" s="8"/>
      <c r="U1634" s="7"/>
      <c r="V1634" s="7"/>
      <c r="W1634" s="6"/>
      <c r="X1634" s="2"/>
      <c r="Y1634" s="2"/>
      <c r="Z1634" s="2"/>
      <c r="AA1634" s="2"/>
    </row>
    <row r="1635" spans="1:27" s="1" customFormat="1">
      <c r="A1635"/>
      <c r="B1635"/>
      <c r="C1635"/>
      <c r="D1635"/>
      <c r="E1635"/>
      <c r="F1635"/>
      <c r="G1635"/>
      <c r="H1635"/>
      <c r="I1635"/>
      <c r="J1635" s="3"/>
      <c r="K1635" s="2"/>
      <c r="L1635" s="10"/>
      <c r="M1635" s="10"/>
      <c r="N1635" s="9"/>
      <c r="O1635" s="6"/>
      <c r="P1635" s="8"/>
      <c r="Q1635" s="6"/>
      <c r="R1635" s="8"/>
      <c r="S1635" s="6"/>
      <c r="T1635" s="8"/>
      <c r="U1635" s="7"/>
      <c r="V1635" s="7"/>
      <c r="W1635" s="6"/>
      <c r="X1635" s="2"/>
      <c r="Y1635" s="2"/>
      <c r="Z1635" s="2"/>
      <c r="AA1635" s="2"/>
    </row>
    <row r="1636" spans="1:27" s="1" customFormat="1">
      <c r="A1636"/>
      <c r="B1636"/>
      <c r="C1636"/>
      <c r="D1636"/>
      <c r="E1636"/>
      <c r="F1636"/>
      <c r="G1636"/>
      <c r="H1636"/>
      <c r="I1636"/>
      <c r="J1636" s="3"/>
      <c r="K1636" s="2"/>
      <c r="L1636" s="2"/>
      <c r="M1636" s="2"/>
      <c r="N1636" s="2"/>
      <c r="O1636" s="6"/>
      <c r="P1636" s="8"/>
      <c r="Q1636" s="6"/>
      <c r="R1636" s="8"/>
      <c r="S1636" s="6"/>
      <c r="T1636" s="8"/>
      <c r="U1636" s="7"/>
      <c r="V1636" s="7"/>
      <c r="W1636" s="6"/>
      <c r="X1636" s="2"/>
      <c r="Y1636" s="2"/>
      <c r="Z1636" s="2"/>
      <c r="AA1636" s="2"/>
    </row>
    <row r="1637" spans="1:27" s="1" customFormat="1">
      <c r="A1637"/>
      <c r="B1637"/>
      <c r="C1637"/>
      <c r="D1637"/>
      <c r="E1637"/>
      <c r="F1637"/>
      <c r="G1637"/>
      <c r="H1637"/>
      <c r="I1637"/>
      <c r="J1637" s="3"/>
      <c r="K1637" s="2"/>
      <c r="L1637" s="2"/>
      <c r="M1637" s="2"/>
      <c r="N1637" s="2"/>
      <c r="O1637" s="5"/>
      <c r="P1637" s="4"/>
      <c r="Q1637" s="2"/>
      <c r="R1637" s="2"/>
      <c r="S1637" s="2"/>
      <c r="T1637" s="2"/>
      <c r="U1637" s="2"/>
      <c r="V1637" s="2"/>
      <c r="W1637" s="2"/>
      <c r="X1637" s="2"/>
      <c r="Y1637" s="2"/>
      <c r="Z1637" s="2"/>
      <c r="AA1637" s="2"/>
    </row>
    <row r="1638" spans="1:27" s="1" customFormat="1">
      <c r="A1638"/>
      <c r="B1638"/>
      <c r="C1638"/>
      <c r="D1638"/>
      <c r="E1638"/>
      <c r="F1638"/>
      <c r="G1638"/>
      <c r="H1638"/>
      <c r="I1638"/>
      <c r="J1638" s="3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  <c r="X1638" s="2"/>
      <c r="Y1638" s="2"/>
      <c r="Z1638" s="2"/>
      <c r="AA1638" s="2"/>
    </row>
    <row r="1639" spans="1:27" s="1" customFormat="1">
      <c r="A1639"/>
      <c r="B1639"/>
      <c r="C1639"/>
      <c r="D1639"/>
      <c r="E1639"/>
      <c r="F1639"/>
      <c r="G1639"/>
      <c r="H1639"/>
      <c r="I1639"/>
      <c r="J1639" s="3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  <c r="X1639" s="2"/>
      <c r="Y1639" s="2"/>
      <c r="Z1639" s="2"/>
      <c r="AA1639" s="2"/>
    </row>
    <row r="1640" spans="1:27" s="1" customFormat="1">
      <c r="A1640"/>
      <c r="B1640"/>
      <c r="C1640"/>
      <c r="D1640"/>
      <c r="E1640"/>
      <c r="F1640"/>
      <c r="G1640"/>
      <c r="H1640"/>
      <c r="I1640"/>
      <c r="J1640" s="3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  <c r="X1640" s="2"/>
      <c r="Y1640" s="2"/>
      <c r="Z1640" s="2"/>
      <c r="AA1640" s="2"/>
    </row>
    <row r="1641" spans="1:27" s="1" customFormat="1">
      <c r="A1641"/>
      <c r="B1641"/>
      <c r="C1641"/>
      <c r="D1641"/>
      <c r="E1641"/>
      <c r="F1641"/>
      <c r="G1641"/>
      <c r="H1641"/>
      <c r="I1641"/>
      <c r="J1641" s="3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  <c r="X1641" s="2"/>
      <c r="Y1641" s="2"/>
      <c r="Z1641" s="2"/>
      <c r="AA1641" s="2"/>
    </row>
    <row r="1642" spans="1:27" s="1" customFormat="1">
      <c r="A1642"/>
      <c r="B1642"/>
      <c r="C1642"/>
      <c r="D1642"/>
      <c r="E1642"/>
      <c r="F1642"/>
      <c r="G1642"/>
      <c r="H1642"/>
      <c r="I1642"/>
      <c r="J1642" s="3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  <c r="X1642" s="2"/>
      <c r="Y1642" s="2"/>
      <c r="Z1642" s="2"/>
      <c r="AA1642" s="2"/>
    </row>
    <row r="1643" spans="1:27" s="1" customFormat="1">
      <c r="A1643"/>
      <c r="B1643"/>
      <c r="C1643"/>
      <c r="D1643"/>
      <c r="E1643"/>
      <c r="F1643"/>
      <c r="G1643"/>
      <c r="H1643"/>
      <c r="I1643"/>
      <c r="J1643" s="3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  <c r="X1643" s="2"/>
      <c r="Y1643" s="2"/>
      <c r="Z1643" s="2"/>
      <c r="AA1643" s="2"/>
    </row>
    <row r="1644" spans="1:27" s="1" customFormat="1">
      <c r="A1644"/>
      <c r="B1644"/>
      <c r="C1644"/>
      <c r="D1644"/>
      <c r="E1644"/>
      <c r="F1644"/>
      <c r="G1644"/>
      <c r="H1644"/>
      <c r="I1644"/>
      <c r="J1644" s="3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  <c r="X1644" s="2"/>
      <c r="Y1644" s="2"/>
      <c r="Z1644" s="2"/>
      <c r="AA1644" s="2"/>
    </row>
    <row r="1645" spans="1:27" s="1" customFormat="1">
      <c r="A1645"/>
      <c r="B1645"/>
      <c r="C1645"/>
      <c r="D1645"/>
      <c r="E1645"/>
      <c r="F1645"/>
      <c r="G1645"/>
      <c r="H1645"/>
      <c r="I1645"/>
      <c r="J1645" s="3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  <c r="X1645" s="2"/>
      <c r="Y1645" s="2"/>
      <c r="Z1645" s="2"/>
      <c r="AA1645" s="2"/>
    </row>
    <row r="1646" spans="1:27" s="1" customFormat="1">
      <c r="A1646"/>
      <c r="B1646"/>
      <c r="C1646"/>
      <c r="D1646"/>
      <c r="E1646"/>
      <c r="F1646"/>
      <c r="G1646"/>
      <c r="H1646"/>
      <c r="I1646"/>
      <c r="J1646" s="3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  <c r="X1646" s="2"/>
      <c r="Y1646" s="2"/>
      <c r="Z1646" s="2"/>
      <c r="AA1646" s="2"/>
    </row>
    <row r="1647" spans="1:27" s="1" customFormat="1">
      <c r="A1647"/>
      <c r="B1647"/>
      <c r="C1647"/>
      <c r="D1647"/>
      <c r="E1647"/>
      <c r="F1647"/>
      <c r="G1647"/>
      <c r="H1647"/>
      <c r="I1647"/>
      <c r="J1647" s="3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  <c r="X1647" s="2"/>
      <c r="Y1647" s="2"/>
      <c r="Z1647" s="2"/>
      <c r="AA1647" s="2"/>
    </row>
    <row r="1648" spans="1:27" s="1" customFormat="1">
      <c r="A1648"/>
      <c r="B1648"/>
      <c r="C1648"/>
      <c r="D1648"/>
      <c r="E1648"/>
      <c r="F1648"/>
      <c r="G1648"/>
      <c r="H1648"/>
      <c r="I1648"/>
      <c r="J1648" s="3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  <c r="X1648" s="2"/>
      <c r="Y1648" s="2"/>
      <c r="Z1648" s="2"/>
      <c r="AA1648" s="2"/>
    </row>
    <row r="1649" spans="1:27" s="1" customFormat="1">
      <c r="A1649"/>
      <c r="B1649"/>
      <c r="C1649"/>
      <c r="D1649"/>
      <c r="E1649"/>
      <c r="F1649"/>
      <c r="G1649"/>
      <c r="H1649"/>
      <c r="I1649"/>
      <c r="J1649" s="3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  <c r="X1649" s="2"/>
      <c r="Y1649" s="2"/>
      <c r="Z1649" s="2"/>
      <c r="AA1649" s="2"/>
    </row>
    <row r="1650" spans="1:27" s="1" customFormat="1">
      <c r="A1650"/>
      <c r="B1650"/>
      <c r="C1650"/>
      <c r="D1650"/>
      <c r="E1650"/>
      <c r="F1650"/>
      <c r="G1650"/>
      <c r="H1650"/>
      <c r="I1650"/>
      <c r="J1650" s="3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  <c r="X1650" s="2"/>
      <c r="Y1650" s="2"/>
      <c r="Z1650" s="2"/>
      <c r="AA1650" s="2"/>
    </row>
    <row r="1651" spans="1:27" s="1" customFormat="1">
      <c r="A1651"/>
      <c r="B1651"/>
      <c r="C1651"/>
      <c r="D1651"/>
      <c r="E1651"/>
      <c r="F1651"/>
      <c r="G1651"/>
      <c r="H1651"/>
      <c r="I1651"/>
      <c r="J1651" s="3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  <c r="X1651" s="2"/>
      <c r="Y1651" s="2"/>
      <c r="Z1651" s="2"/>
      <c r="AA1651" s="2"/>
    </row>
    <row r="1652" spans="1:27" s="1" customFormat="1">
      <c r="A1652"/>
      <c r="B1652"/>
      <c r="C1652"/>
      <c r="D1652"/>
      <c r="E1652"/>
      <c r="F1652"/>
      <c r="G1652"/>
      <c r="H1652"/>
      <c r="I1652"/>
      <c r="J1652" s="3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  <c r="X1652" s="2"/>
      <c r="Y1652" s="2"/>
      <c r="Z1652" s="2"/>
      <c r="AA1652" s="2"/>
    </row>
    <row r="1653" spans="1:27" s="1" customFormat="1">
      <c r="A1653"/>
      <c r="B1653"/>
      <c r="C1653"/>
      <c r="D1653"/>
      <c r="E1653"/>
      <c r="F1653"/>
      <c r="G1653"/>
      <c r="H1653"/>
      <c r="I1653"/>
      <c r="J1653" s="3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  <c r="X1653" s="2"/>
      <c r="Y1653" s="2"/>
      <c r="Z1653" s="2"/>
      <c r="AA1653" s="2"/>
    </row>
    <row r="1654" spans="1:27" s="1" customFormat="1">
      <c r="A1654"/>
      <c r="B1654"/>
      <c r="C1654"/>
      <c r="D1654"/>
      <c r="E1654"/>
      <c r="F1654"/>
      <c r="G1654"/>
      <c r="H1654"/>
      <c r="I1654"/>
      <c r="J1654" s="3"/>
      <c r="K1654" s="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2"/>
      <c r="W1654" s="12"/>
      <c r="X1654" s="2"/>
      <c r="Y1654" s="2"/>
      <c r="Z1654" s="2"/>
      <c r="AA1654" s="2"/>
    </row>
    <row r="1655" spans="1:27" s="1" customFormat="1">
      <c r="A1655"/>
      <c r="B1655"/>
      <c r="C1655"/>
      <c r="D1655"/>
      <c r="E1655"/>
      <c r="F1655"/>
      <c r="G1655"/>
      <c r="H1655"/>
      <c r="I1655"/>
      <c r="J1655" s="3"/>
      <c r="K1655" s="2"/>
      <c r="L1655" s="14"/>
      <c r="M1655" s="14"/>
      <c r="N1655" s="14"/>
      <c r="O1655" s="12"/>
      <c r="P1655" s="12"/>
      <c r="Q1655" s="12"/>
      <c r="R1655" s="14"/>
      <c r="S1655" s="14"/>
      <c r="T1655" s="12"/>
      <c r="U1655" s="2"/>
      <c r="V1655" s="12"/>
      <c r="W1655" s="2"/>
      <c r="X1655" s="2"/>
      <c r="Y1655" s="2"/>
      <c r="Z1655" s="2"/>
      <c r="AA1655" s="2"/>
    </row>
    <row r="1656" spans="1:27" s="1" customFormat="1">
      <c r="A1656"/>
      <c r="B1656"/>
      <c r="C1656"/>
      <c r="D1656"/>
      <c r="E1656"/>
      <c r="F1656"/>
      <c r="G1656"/>
      <c r="H1656"/>
      <c r="I1656"/>
      <c r="J1656" s="3"/>
      <c r="K1656" s="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3"/>
      <c r="V1656" s="13"/>
      <c r="W1656" s="12"/>
      <c r="X1656" s="2"/>
      <c r="Y1656" s="2"/>
      <c r="Z1656" s="2"/>
      <c r="AA1656" s="2"/>
    </row>
    <row r="1657" spans="1:27" s="1" customFormat="1">
      <c r="A1657"/>
      <c r="B1657"/>
      <c r="C1657"/>
      <c r="D1657"/>
      <c r="E1657"/>
      <c r="F1657"/>
      <c r="G1657"/>
      <c r="H1657"/>
      <c r="I1657"/>
      <c r="J1657" s="3"/>
      <c r="K1657" s="2"/>
      <c r="L1657" s="10"/>
      <c r="M1657" s="10"/>
      <c r="N1657" s="9"/>
      <c r="O1657" s="6"/>
      <c r="P1657" s="8"/>
      <c r="Q1657" s="6"/>
      <c r="R1657" s="8"/>
      <c r="S1657" s="6"/>
      <c r="T1657" s="8"/>
      <c r="U1657" s="7"/>
      <c r="V1657" s="7"/>
      <c r="W1657" s="6"/>
      <c r="X1657" s="2"/>
      <c r="Y1657" s="2"/>
      <c r="Z1657" s="2"/>
      <c r="AA1657" s="2"/>
    </row>
    <row r="1658" spans="1:27" s="1" customFormat="1">
      <c r="A1658"/>
      <c r="B1658"/>
      <c r="C1658"/>
      <c r="D1658"/>
      <c r="E1658"/>
      <c r="F1658"/>
      <c r="G1658"/>
      <c r="H1658"/>
      <c r="I1658"/>
      <c r="J1658" s="3"/>
      <c r="K1658" s="11"/>
      <c r="L1658" s="10"/>
      <c r="M1658" s="10"/>
      <c r="N1658" s="9"/>
      <c r="O1658" s="6"/>
      <c r="P1658" s="8"/>
      <c r="Q1658" s="6"/>
      <c r="R1658" s="8"/>
      <c r="S1658" s="6"/>
      <c r="T1658" s="8"/>
      <c r="U1658" s="7"/>
      <c r="V1658" s="7"/>
      <c r="W1658" s="6"/>
      <c r="X1658" s="2"/>
      <c r="Y1658" s="2"/>
      <c r="Z1658" s="2"/>
      <c r="AA1658" s="2"/>
    </row>
    <row r="1659" spans="1:27" s="1" customFormat="1">
      <c r="A1659"/>
      <c r="B1659"/>
      <c r="C1659"/>
      <c r="D1659"/>
      <c r="E1659"/>
      <c r="F1659"/>
      <c r="G1659"/>
      <c r="H1659"/>
      <c r="I1659"/>
      <c r="J1659" s="3"/>
      <c r="K1659" s="2"/>
      <c r="L1659" s="10"/>
      <c r="M1659" s="10"/>
      <c r="N1659" s="9"/>
      <c r="O1659" s="6"/>
      <c r="P1659" s="8"/>
      <c r="Q1659" s="6"/>
      <c r="R1659" s="8"/>
      <c r="S1659" s="6"/>
      <c r="T1659" s="8"/>
      <c r="U1659" s="7"/>
      <c r="V1659" s="7"/>
      <c r="W1659" s="6"/>
      <c r="X1659" s="2"/>
      <c r="Y1659" s="2"/>
      <c r="Z1659" s="2"/>
      <c r="AA1659" s="2"/>
    </row>
    <row r="1660" spans="1:27" s="1" customFormat="1">
      <c r="A1660"/>
      <c r="B1660"/>
      <c r="C1660"/>
      <c r="D1660"/>
      <c r="E1660"/>
      <c r="F1660"/>
      <c r="G1660"/>
      <c r="H1660"/>
      <c r="I1660"/>
      <c r="J1660" s="3"/>
      <c r="K1660" s="2"/>
      <c r="L1660" s="10"/>
      <c r="M1660" s="10"/>
      <c r="N1660" s="9"/>
      <c r="O1660" s="6"/>
      <c r="P1660" s="8"/>
      <c r="Q1660" s="6"/>
      <c r="R1660" s="8"/>
      <c r="S1660" s="6"/>
      <c r="T1660" s="8"/>
      <c r="U1660" s="7"/>
      <c r="V1660" s="7"/>
      <c r="W1660" s="6"/>
      <c r="X1660" s="2"/>
      <c r="Y1660" s="2"/>
      <c r="Z1660" s="2"/>
      <c r="AA1660" s="2"/>
    </row>
    <row r="1661" spans="1:27" s="1" customFormat="1">
      <c r="A1661"/>
      <c r="B1661"/>
      <c r="C1661"/>
      <c r="D1661"/>
      <c r="E1661"/>
      <c r="F1661"/>
      <c r="G1661"/>
      <c r="H1661"/>
      <c r="I1661"/>
      <c r="J1661" s="3"/>
      <c r="K1661" s="2"/>
      <c r="L1661" s="2"/>
      <c r="M1661" s="2"/>
      <c r="N1661" s="2"/>
      <c r="O1661" s="6"/>
      <c r="P1661" s="8"/>
      <c r="Q1661" s="6"/>
      <c r="R1661" s="8"/>
      <c r="S1661" s="6"/>
      <c r="T1661" s="8"/>
      <c r="U1661" s="7"/>
      <c r="V1661" s="7"/>
      <c r="W1661" s="6"/>
      <c r="X1661" s="2"/>
      <c r="Y1661" s="2"/>
      <c r="Z1661" s="2"/>
      <c r="AA1661" s="2"/>
    </row>
    <row r="1662" spans="1:27" s="1" customFormat="1">
      <c r="A1662"/>
      <c r="B1662"/>
      <c r="C1662"/>
      <c r="D1662"/>
      <c r="E1662"/>
      <c r="F1662"/>
      <c r="G1662"/>
      <c r="H1662"/>
      <c r="I1662"/>
      <c r="J1662" s="3"/>
      <c r="K1662" s="2"/>
      <c r="L1662" s="2"/>
      <c r="M1662" s="2"/>
      <c r="N1662" s="2"/>
      <c r="O1662" s="5"/>
      <c r="P1662" s="4"/>
      <c r="Q1662" s="2"/>
      <c r="R1662" s="2"/>
      <c r="S1662" s="2"/>
      <c r="T1662" s="2"/>
      <c r="U1662" s="2"/>
      <c r="V1662" s="2"/>
      <c r="W1662" s="2"/>
      <c r="X1662" s="2"/>
      <c r="Y1662" s="2"/>
      <c r="Z1662" s="2"/>
      <c r="AA1662" s="2"/>
    </row>
    <row r="1663" spans="1:27" s="1" customFormat="1">
      <c r="A1663"/>
      <c r="B1663"/>
      <c r="C1663"/>
      <c r="D1663"/>
      <c r="E1663"/>
      <c r="F1663"/>
      <c r="G1663"/>
      <c r="H1663"/>
      <c r="I1663"/>
      <c r="J1663" s="3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  <c r="X1663" s="2"/>
      <c r="Y1663" s="2"/>
      <c r="Z1663" s="2"/>
      <c r="AA1663" s="2"/>
    </row>
    <row r="1664" spans="1:27" s="1" customFormat="1">
      <c r="A1664"/>
      <c r="B1664"/>
      <c r="C1664"/>
      <c r="D1664"/>
      <c r="E1664"/>
      <c r="F1664"/>
      <c r="G1664"/>
      <c r="H1664"/>
      <c r="I1664"/>
      <c r="J1664" s="3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  <c r="X1664" s="2"/>
      <c r="Y1664" s="2"/>
      <c r="Z1664" s="2"/>
      <c r="AA1664" s="2"/>
    </row>
    <row r="1665" spans="1:27" s="1" customFormat="1">
      <c r="A1665"/>
      <c r="B1665"/>
      <c r="C1665"/>
      <c r="D1665"/>
      <c r="E1665"/>
      <c r="F1665"/>
      <c r="G1665"/>
      <c r="H1665"/>
      <c r="I1665"/>
      <c r="J1665" s="3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  <c r="X1665" s="2"/>
      <c r="Y1665" s="2"/>
      <c r="Z1665" s="2"/>
      <c r="AA1665" s="2"/>
    </row>
    <row r="1666" spans="1:27" s="1" customFormat="1">
      <c r="A1666"/>
      <c r="B1666"/>
      <c r="C1666"/>
      <c r="D1666"/>
      <c r="E1666"/>
      <c r="F1666"/>
      <c r="G1666"/>
      <c r="H1666"/>
      <c r="I1666"/>
      <c r="J1666" s="3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  <c r="X1666" s="2"/>
      <c r="Y1666" s="2"/>
      <c r="Z1666" s="2"/>
      <c r="AA1666" s="2"/>
    </row>
    <row r="1667" spans="1:27" s="1" customFormat="1">
      <c r="A1667"/>
      <c r="B1667"/>
      <c r="C1667"/>
      <c r="D1667"/>
      <c r="E1667"/>
      <c r="F1667"/>
      <c r="G1667"/>
      <c r="H1667"/>
      <c r="I1667"/>
      <c r="J1667" s="3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  <c r="X1667" s="2"/>
      <c r="Y1667" s="2"/>
      <c r="Z1667" s="2"/>
      <c r="AA1667" s="2"/>
    </row>
    <row r="1668" spans="1:27" s="1" customFormat="1">
      <c r="A1668"/>
      <c r="B1668"/>
      <c r="C1668"/>
      <c r="D1668"/>
      <c r="E1668"/>
      <c r="F1668"/>
      <c r="G1668"/>
      <c r="H1668"/>
      <c r="I1668"/>
      <c r="J1668" s="3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  <c r="X1668" s="2"/>
      <c r="Y1668" s="2"/>
      <c r="Z1668" s="2"/>
      <c r="AA1668" s="2"/>
    </row>
    <row r="1669" spans="1:27" s="1" customFormat="1">
      <c r="A1669"/>
      <c r="B1669"/>
      <c r="C1669"/>
      <c r="D1669"/>
      <c r="E1669"/>
      <c r="F1669"/>
      <c r="G1669"/>
      <c r="H1669"/>
      <c r="I1669"/>
      <c r="J1669" s="3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  <c r="X1669" s="2"/>
      <c r="Y1669" s="2"/>
      <c r="Z1669" s="2"/>
      <c r="AA1669" s="2"/>
    </row>
    <row r="1670" spans="1:27" s="1" customFormat="1">
      <c r="A1670"/>
      <c r="B1670"/>
      <c r="C1670"/>
      <c r="D1670"/>
      <c r="E1670"/>
      <c r="F1670"/>
      <c r="G1670"/>
      <c r="H1670"/>
      <c r="I1670"/>
      <c r="J1670" s="3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  <c r="X1670" s="2"/>
      <c r="Y1670" s="2"/>
      <c r="Z1670" s="2"/>
      <c r="AA1670" s="2"/>
    </row>
    <row r="1671" spans="1:27" s="1" customFormat="1">
      <c r="A1671"/>
      <c r="B1671"/>
      <c r="C1671"/>
      <c r="D1671"/>
      <c r="E1671"/>
      <c r="F1671"/>
      <c r="G1671"/>
      <c r="H1671"/>
      <c r="I1671"/>
      <c r="J1671" s="3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  <c r="X1671" s="2"/>
      <c r="Y1671" s="2"/>
      <c r="Z1671" s="2"/>
      <c r="AA1671" s="2"/>
    </row>
    <row r="1672" spans="1:27" s="1" customFormat="1">
      <c r="A1672"/>
      <c r="B1672"/>
      <c r="C1672"/>
      <c r="D1672"/>
      <c r="E1672"/>
      <c r="F1672"/>
      <c r="G1672"/>
      <c r="H1672"/>
      <c r="I1672"/>
      <c r="J1672" s="3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  <c r="X1672" s="2"/>
      <c r="Y1672" s="2"/>
      <c r="Z1672" s="2"/>
      <c r="AA1672" s="2"/>
    </row>
    <row r="1673" spans="1:27" s="1" customFormat="1">
      <c r="A1673"/>
      <c r="B1673"/>
      <c r="C1673"/>
      <c r="D1673"/>
      <c r="E1673"/>
      <c r="F1673"/>
      <c r="G1673"/>
      <c r="H1673"/>
      <c r="I1673"/>
      <c r="J1673" s="3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  <c r="X1673" s="2"/>
      <c r="Y1673" s="2"/>
      <c r="Z1673" s="2"/>
      <c r="AA1673" s="2"/>
    </row>
    <row r="1674" spans="1:27" s="1" customFormat="1">
      <c r="A1674"/>
      <c r="B1674"/>
      <c r="C1674"/>
      <c r="D1674"/>
      <c r="E1674"/>
      <c r="F1674"/>
      <c r="G1674"/>
      <c r="H1674"/>
      <c r="I1674"/>
      <c r="J1674" s="3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  <c r="X1674" s="2"/>
      <c r="Y1674" s="2"/>
      <c r="Z1674" s="2"/>
      <c r="AA1674" s="2"/>
    </row>
    <row r="1675" spans="1:27" s="1" customFormat="1">
      <c r="A1675"/>
      <c r="B1675"/>
      <c r="C1675"/>
      <c r="D1675"/>
      <c r="E1675"/>
      <c r="F1675"/>
      <c r="G1675"/>
      <c r="H1675"/>
      <c r="I1675"/>
      <c r="J1675" s="3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  <c r="X1675" s="2"/>
      <c r="Y1675" s="2"/>
      <c r="Z1675" s="2"/>
      <c r="AA1675" s="2"/>
    </row>
    <row r="1676" spans="1:27" s="1" customFormat="1">
      <c r="A1676"/>
      <c r="B1676"/>
      <c r="C1676"/>
      <c r="D1676"/>
      <c r="E1676"/>
      <c r="F1676"/>
      <c r="G1676"/>
      <c r="H1676"/>
      <c r="I1676"/>
      <c r="J1676" s="3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  <c r="X1676" s="2"/>
      <c r="Y1676" s="2"/>
      <c r="Z1676" s="2"/>
      <c r="AA1676" s="2"/>
    </row>
    <row r="1677" spans="1:27" s="1" customFormat="1">
      <c r="A1677"/>
      <c r="B1677"/>
      <c r="C1677"/>
      <c r="D1677"/>
      <c r="E1677"/>
      <c r="F1677"/>
      <c r="G1677"/>
      <c r="H1677"/>
      <c r="I1677"/>
      <c r="J1677" s="3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  <c r="X1677" s="2"/>
      <c r="Y1677" s="2"/>
      <c r="Z1677" s="2"/>
      <c r="AA1677" s="2"/>
    </row>
    <row r="1678" spans="1:27" s="1" customFormat="1">
      <c r="A1678"/>
      <c r="B1678"/>
      <c r="C1678"/>
      <c r="D1678"/>
      <c r="E1678"/>
      <c r="F1678"/>
      <c r="G1678"/>
      <c r="H1678"/>
      <c r="I1678"/>
      <c r="J1678" s="3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  <c r="X1678" s="2"/>
      <c r="Y1678" s="2"/>
      <c r="Z1678" s="2"/>
      <c r="AA1678" s="2"/>
    </row>
    <row r="1679" spans="1:27" s="1" customFormat="1">
      <c r="A1679"/>
      <c r="B1679"/>
      <c r="C1679"/>
      <c r="D1679"/>
      <c r="E1679"/>
      <c r="F1679"/>
      <c r="G1679"/>
      <c r="H1679"/>
      <c r="I1679"/>
      <c r="J1679" s="3"/>
      <c r="K1679" s="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2"/>
      <c r="W1679" s="12"/>
      <c r="X1679" s="2"/>
      <c r="Y1679" s="2"/>
      <c r="Z1679" s="2"/>
      <c r="AA1679" s="2"/>
    </row>
    <row r="1680" spans="1:27" s="1" customFormat="1">
      <c r="A1680"/>
      <c r="B1680"/>
      <c r="C1680"/>
      <c r="D1680"/>
      <c r="E1680"/>
      <c r="F1680"/>
      <c r="G1680"/>
      <c r="H1680"/>
      <c r="I1680"/>
      <c r="J1680" s="3"/>
      <c r="K1680" s="2"/>
      <c r="L1680" s="14"/>
      <c r="M1680" s="14"/>
      <c r="N1680" s="14"/>
      <c r="O1680" s="12"/>
      <c r="P1680" s="12"/>
      <c r="Q1680" s="12"/>
      <c r="R1680" s="14"/>
      <c r="S1680" s="14"/>
      <c r="T1680" s="12"/>
      <c r="U1680" s="2"/>
      <c r="V1680" s="12"/>
      <c r="W1680" s="2"/>
      <c r="X1680" s="2"/>
      <c r="Y1680" s="2"/>
      <c r="Z1680" s="2"/>
      <c r="AA1680" s="2"/>
    </row>
    <row r="1681" spans="1:27" s="1" customFormat="1">
      <c r="A1681"/>
      <c r="B1681"/>
      <c r="C1681"/>
      <c r="D1681"/>
      <c r="E1681"/>
      <c r="F1681"/>
      <c r="G1681"/>
      <c r="H1681"/>
      <c r="I1681"/>
      <c r="J1681" s="3"/>
      <c r="K1681" s="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3"/>
      <c r="V1681" s="13"/>
      <c r="W1681" s="12"/>
      <c r="X1681" s="2"/>
      <c r="Y1681" s="2"/>
      <c r="Z1681" s="2"/>
      <c r="AA1681" s="2"/>
    </row>
    <row r="1682" spans="1:27" s="1" customFormat="1">
      <c r="A1682"/>
      <c r="B1682"/>
      <c r="C1682"/>
      <c r="D1682"/>
      <c r="E1682"/>
      <c r="F1682"/>
      <c r="G1682"/>
      <c r="H1682"/>
      <c r="I1682"/>
      <c r="J1682" s="3"/>
      <c r="K1682" s="2"/>
      <c r="L1682" s="10"/>
      <c r="M1682" s="10"/>
      <c r="N1682" s="9"/>
      <c r="O1682" s="6"/>
      <c r="P1682" s="8"/>
      <c r="Q1682" s="6"/>
      <c r="R1682" s="8"/>
      <c r="S1682" s="6"/>
      <c r="T1682" s="8"/>
      <c r="U1682" s="7"/>
      <c r="V1682" s="7"/>
      <c r="W1682" s="6"/>
      <c r="X1682" s="2"/>
      <c r="Y1682" s="2"/>
      <c r="Z1682" s="2"/>
      <c r="AA1682" s="2"/>
    </row>
    <row r="1683" spans="1:27" s="1" customFormat="1">
      <c r="A1683"/>
      <c r="B1683"/>
      <c r="C1683"/>
      <c r="D1683"/>
      <c r="E1683"/>
      <c r="F1683"/>
      <c r="G1683"/>
      <c r="H1683"/>
      <c r="I1683"/>
      <c r="J1683" s="3"/>
      <c r="K1683" s="11"/>
      <c r="L1683" s="10"/>
      <c r="M1683" s="10"/>
      <c r="N1683" s="9"/>
      <c r="O1683" s="6"/>
      <c r="P1683" s="8"/>
      <c r="Q1683" s="6"/>
      <c r="R1683" s="8"/>
      <c r="S1683" s="6"/>
      <c r="T1683" s="8"/>
      <c r="U1683" s="7"/>
      <c r="V1683" s="7"/>
      <c r="W1683" s="6"/>
      <c r="X1683" s="2"/>
      <c r="Y1683" s="2"/>
      <c r="Z1683" s="2"/>
      <c r="AA1683" s="2"/>
    </row>
    <row r="1684" spans="1:27" s="1" customFormat="1">
      <c r="A1684"/>
      <c r="B1684"/>
      <c r="C1684"/>
      <c r="D1684"/>
      <c r="E1684"/>
      <c r="F1684"/>
      <c r="G1684"/>
      <c r="H1684"/>
      <c r="I1684"/>
      <c r="J1684" s="3"/>
      <c r="K1684" s="2"/>
      <c r="L1684" s="10"/>
      <c r="M1684" s="10"/>
      <c r="N1684" s="9"/>
      <c r="O1684" s="6"/>
      <c r="P1684" s="8"/>
      <c r="Q1684" s="6"/>
      <c r="R1684" s="8"/>
      <c r="S1684" s="6"/>
      <c r="T1684" s="8"/>
      <c r="U1684" s="7"/>
      <c r="V1684" s="7"/>
      <c r="W1684" s="6"/>
      <c r="X1684" s="2"/>
      <c r="Y1684" s="2"/>
      <c r="Z1684" s="2"/>
      <c r="AA1684" s="2"/>
    </row>
    <row r="1685" spans="1:27" s="1" customFormat="1">
      <c r="A1685"/>
      <c r="B1685"/>
      <c r="C1685"/>
      <c r="D1685"/>
      <c r="E1685"/>
      <c r="F1685"/>
      <c r="G1685"/>
      <c r="H1685"/>
      <c r="I1685"/>
      <c r="J1685" s="3"/>
      <c r="K1685" s="2"/>
      <c r="L1685" s="10"/>
      <c r="M1685" s="10"/>
      <c r="N1685" s="9"/>
      <c r="O1685" s="6"/>
      <c r="P1685" s="8"/>
      <c r="Q1685" s="6"/>
      <c r="R1685" s="8"/>
      <c r="S1685" s="6"/>
      <c r="T1685" s="8"/>
      <c r="U1685" s="7"/>
      <c r="V1685" s="7"/>
      <c r="W1685" s="6"/>
      <c r="X1685" s="2"/>
      <c r="Y1685" s="2"/>
      <c r="Z1685" s="2"/>
      <c r="AA1685" s="2"/>
    </row>
    <row r="1686" spans="1:27" s="1" customFormat="1">
      <c r="A1686"/>
      <c r="B1686"/>
      <c r="C1686"/>
      <c r="D1686"/>
      <c r="E1686"/>
      <c r="F1686"/>
      <c r="G1686"/>
      <c r="H1686"/>
      <c r="I1686"/>
      <c r="J1686" s="3"/>
      <c r="K1686" s="2"/>
      <c r="L1686" s="2"/>
      <c r="M1686" s="2"/>
      <c r="N1686" s="2"/>
      <c r="O1686" s="6"/>
      <c r="P1686" s="8"/>
      <c r="Q1686" s="6"/>
      <c r="R1686" s="8"/>
      <c r="S1686" s="6"/>
      <c r="T1686" s="8"/>
      <c r="U1686" s="7"/>
      <c r="V1686" s="7"/>
      <c r="W1686" s="6"/>
      <c r="X1686" s="2"/>
      <c r="Y1686" s="2"/>
      <c r="Z1686" s="2"/>
      <c r="AA1686" s="2"/>
    </row>
    <row r="1687" spans="1:27" s="1" customFormat="1">
      <c r="A1687"/>
      <c r="B1687"/>
      <c r="C1687"/>
      <c r="D1687"/>
      <c r="E1687"/>
      <c r="F1687"/>
      <c r="G1687"/>
      <c r="H1687"/>
      <c r="I1687"/>
      <c r="J1687" s="3"/>
      <c r="K1687" s="2"/>
      <c r="L1687" s="2"/>
      <c r="M1687" s="2"/>
      <c r="N1687" s="2"/>
      <c r="O1687" s="5"/>
      <c r="P1687" s="4"/>
      <c r="Q1687" s="2"/>
      <c r="R1687" s="2"/>
      <c r="S1687" s="2"/>
      <c r="T1687" s="2"/>
      <c r="U1687" s="2"/>
      <c r="V1687" s="2"/>
      <c r="W1687" s="2"/>
      <c r="X1687" s="2"/>
      <c r="Y1687" s="2"/>
      <c r="Z1687" s="2"/>
      <c r="AA1687" s="2"/>
    </row>
    <row r="1688" spans="1:27" s="1" customFormat="1">
      <c r="A1688"/>
      <c r="B1688"/>
      <c r="C1688"/>
      <c r="D1688"/>
      <c r="E1688"/>
      <c r="F1688"/>
      <c r="G1688"/>
      <c r="H1688"/>
      <c r="I1688"/>
      <c r="J1688" s="3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  <c r="X1688" s="2"/>
      <c r="Y1688" s="2"/>
      <c r="Z1688" s="2"/>
      <c r="AA1688" s="2"/>
    </row>
    <row r="1689" spans="1:27" s="1" customFormat="1">
      <c r="A1689"/>
      <c r="B1689"/>
      <c r="C1689"/>
      <c r="D1689"/>
      <c r="E1689"/>
      <c r="F1689"/>
      <c r="G1689"/>
      <c r="H1689"/>
      <c r="I1689"/>
      <c r="J1689" s="3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  <c r="X1689" s="2"/>
      <c r="Y1689" s="2"/>
      <c r="Z1689" s="2"/>
      <c r="AA1689" s="2"/>
    </row>
    <row r="1690" spans="1:27" s="1" customFormat="1">
      <c r="A1690"/>
      <c r="B1690"/>
      <c r="C1690"/>
      <c r="D1690"/>
      <c r="E1690"/>
      <c r="F1690"/>
      <c r="G1690"/>
      <c r="H1690"/>
      <c r="I1690"/>
      <c r="J1690" s="3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  <c r="X1690" s="2"/>
      <c r="Y1690" s="2"/>
      <c r="Z1690" s="2"/>
      <c r="AA1690" s="2"/>
    </row>
    <row r="1691" spans="1:27" s="1" customFormat="1">
      <c r="A1691"/>
      <c r="B1691"/>
      <c r="C1691"/>
      <c r="D1691"/>
      <c r="E1691"/>
      <c r="F1691"/>
      <c r="G1691"/>
      <c r="H1691"/>
      <c r="I1691"/>
      <c r="J1691" s="3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  <c r="X1691" s="2"/>
      <c r="Y1691" s="2"/>
      <c r="Z1691" s="2"/>
      <c r="AA1691" s="2"/>
    </row>
    <row r="1692" spans="1:27" s="1" customFormat="1">
      <c r="A1692"/>
      <c r="B1692"/>
      <c r="C1692"/>
      <c r="D1692"/>
      <c r="E1692"/>
      <c r="F1692"/>
      <c r="G1692"/>
      <c r="H1692"/>
      <c r="I1692"/>
      <c r="J1692" s="3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  <c r="X1692" s="2"/>
      <c r="Y1692" s="2"/>
      <c r="Z1692" s="2"/>
      <c r="AA1692" s="2"/>
    </row>
    <row r="1693" spans="1:27" s="1" customFormat="1">
      <c r="A1693"/>
      <c r="B1693"/>
      <c r="C1693"/>
      <c r="D1693"/>
      <c r="E1693"/>
      <c r="F1693"/>
      <c r="G1693"/>
      <c r="H1693"/>
      <c r="I1693"/>
      <c r="J1693" s="3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  <c r="X1693" s="2"/>
      <c r="Y1693" s="2"/>
      <c r="Z1693" s="2"/>
      <c r="AA1693" s="2"/>
    </row>
    <row r="1694" spans="1:27" s="1" customFormat="1">
      <c r="A1694"/>
      <c r="B1694"/>
      <c r="C1694"/>
      <c r="D1694"/>
      <c r="E1694"/>
      <c r="F1694"/>
      <c r="G1694"/>
      <c r="H1694"/>
      <c r="I1694"/>
      <c r="J1694" s="3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  <c r="X1694" s="2"/>
      <c r="Y1694" s="2"/>
      <c r="Z1694" s="2"/>
      <c r="AA1694" s="2"/>
    </row>
    <row r="1695" spans="1:27" s="1" customFormat="1">
      <c r="A1695"/>
      <c r="B1695"/>
      <c r="C1695"/>
      <c r="D1695"/>
      <c r="E1695"/>
      <c r="F1695"/>
      <c r="G1695"/>
      <c r="H1695"/>
      <c r="I1695"/>
      <c r="J1695" s="3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  <c r="X1695" s="2"/>
      <c r="Y1695" s="2"/>
      <c r="Z1695" s="2"/>
      <c r="AA1695" s="2"/>
    </row>
    <row r="1696" spans="1:27" s="1" customFormat="1">
      <c r="A1696"/>
      <c r="B1696"/>
      <c r="C1696"/>
      <c r="D1696"/>
      <c r="E1696"/>
      <c r="F1696"/>
      <c r="G1696"/>
      <c r="H1696"/>
      <c r="I1696"/>
      <c r="J1696" s="3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  <c r="X1696" s="2"/>
      <c r="Y1696" s="2"/>
      <c r="Z1696" s="2"/>
      <c r="AA1696" s="2"/>
    </row>
    <row r="1697" spans="1:27" s="1" customFormat="1">
      <c r="A1697"/>
      <c r="B1697"/>
      <c r="C1697"/>
      <c r="D1697"/>
      <c r="E1697"/>
      <c r="F1697"/>
      <c r="G1697"/>
      <c r="H1697"/>
      <c r="I1697"/>
      <c r="J1697" s="3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  <c r="X1697" s="2"/>
      <c r="Y1697" s="2"/>
      <c r="Z1697" s="2"/>
      <c r="AA1697" s="2"/>
    </row>
    <row r="1698" spans="1:27" s="1" customFormat="1">
      <c r="A1698"/>
      <c r="B1698"/>
      <c r="C1698"/>
      <c r="D1698"/>
      <c r="E1698"/>
      <c r="F1698"/>
      <c r="G1698"/>
      <c r="H1698"/>
      <c r="I1698"/>
      <c r="J1698" s="3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  <c r="X1698" s="2"/>
      <c r="Y1698" s="2"/>
      <c r="Z1698" s="2"/>
      <c r="AA1698" s="2"/>
    </row>
    <row r="1699" spans="1:27" s="1" customFormat="1">
      <c r="A1699"/>
      <c r="B1699"/>
      <c r="C1699"/>
      <c r="D1699"/>
      <c r="E1699"/>
      <c r="F1699"/>
      <c r="G1699"/>
      <c r="H1699"/>
      <c r="I1699"/>
      <c r="J1699" s="3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  <c r="X1699" s="2"/>
      <c r="Y1699" s="2"/>
      <c r="Z1699" s="2"/>
      <c r="AA1699" s="2"/>
    </row>
    <row r="1700" spans="1:27" s="1" customFormat="1">
      <c r="A1700"/>
      <c r="B1700"/>
      <c r="C1700"/>
      <c r="D1700"/>
      <c r="E1700"/>
      <c r="F1700"/>
      <c r="G1700"/>
      <c r="H1700"/>
      <c r="I1700"/>
      <c r="J1700" s="3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  <c r="X1700" s="2"/>
      <c r="Y1700" s="2"/>
      <c r="Z1700" s="2"/>
      <c r="AA1700" s="2"/>
    </row>
    <row r="1701" spans="1:27" s="1" customFormat="1">
      <c r="A1701"/>
      <c r="B1701"/>
      <c r="C1701"/>
      <c r="D1701"/>
      <c r="E1701"/>
      <c r="F1701"/>
      <c r="G1701"/>
      <c r="H1701"/>
      <c r="I1701"/>
      <c r="J1701" s="3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  <c r="X1701" s="2"/>
      <c r="Y1701" s="2"/>
      <c r="Z1701" s="2"/>
      <c r="AA1701" s="2"/>
    </row>
    <row r="1702" spans="1:27" s="1" customFormat="1">
      <c r="A1702"/>
      <c r="B1702"/>
      <c r="C1702"/>
      <c r="D1702"/>
      <c r="E1702"/>
      <c r="F1702"/>
      <c r="G1702"/>
      <c r="H1702"/>
      <c r="I1702"/>
      <c r="J1702" s="3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  <c r="X1702" s="2"/>
      <c r="Y1702" s="2"/>
      <c r="Z1702" s="2"/>
      <c r="AA1702" s="2"/>
    </row>
    <row r="1703" spans="1:27" s="1" customFormat="1">
      <c r="A1703"/>
      <c r="B1703"/>
      <c r="C1703"/>
      <c r="D1703"/>
      <c r="E1703"/>
      <c r="F1703"/>
      <c r="G1703"/>
      <c r="H1703"/>
      <c r="I1703"/>
      <c r="J1703" s="3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  <c r="X1703" s="2"/>
      <c r="Y1703" s="2"/>
      <c r="Z1703" s="2"/>
      <c r="AA1703" s="2"/>
    </row>
    <row r="1704" spans="1:27" s="1" customFormat="1">
      <c r="A1704"/>
      <c r="B1704"/>
      <c r="C1704"/>
      <c r="D1704"/>
      <c r="E1704"/>
      <c r="F1704"/>
      <c r="G1704"/>
      <c r="H1704"/>
      <c r="I1704"/>
      <c r="J1704" s="3"/>
      <c r="K1704" s="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2"/>
      <c r="W1704" s="12"/>
      <c r="X1704" s="2"/>
      <c r="Y1704" s="2"/>
      <c r="Z1704" s="2"/>
      <c r="AA1704" s="2"/>
    </row>
    <row r="1705" spans="1:27" s="1" customFormat="1">
      <c r="A1705"/>
      <c r="B1705"/>
      <c r="C1705"/>
      <c r="D1705"/>
      <c r="E1705"/>
      <c r="F1705"/>
      <c r="G1705"/>
      <c r="H1705"/>
      <c r="I1705"/>
      <c r="J1705" s="3"/>
      <c r="K1705" s="2"/>
      <c r="L1705" s="14"/>
      <c r="M1705" s="14"/>
      <c r="N1705" s="14"/>
      <c r="O1705" s="12"/>
      <c r="P1705" s="12"/>
      <c r="Q1705" s="12"/>
      <c r="R1705" s="14"/>
      <c r="S1705" s="14"/>
      <c r="T1705" s="12"/>
      <c r="U1705" s="2"/>
      <c r="V1705" s="12"/>
      <c r="W1705" s="2"/>
      <c r="X1705" s="2"/>
      <c r="Y1705" s="2"/>
      <c r="Z1705" s="2"/>
      <c r="AA1705" s="2"/>
    </row>
    <row r="1706" spans="1:27" s="1" customFormat="1">
      <c r="A1706"/>
      <c r="B1706"/>
      <c r="C1706"/>
      <c r="D1706"/>
      <c r="E1706"/>
      <c r="F1706"/>
      <c r="G1706"/>
      <c r="H1706"/>
      <c r="I1706"/>
      <c r="J1706" s="3"/>
      <c r="K1706" s="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3"/>
      <c r="V1706" s="13"/>
      <c r="W1706" s="12"/>
      <c r="X1706" s="2"/>
      <c r="Y1706" s="2"/>
      <c r="Z1706" s="2"/>
      <c r="AA1706" s="2"/>
    </row>
    <row r="1707" spans="1:27" s="1" customFormat="1">
      <c r="A1707"/>
      <c r="B1707"/>
      <c r="C1707"/>
      <c r="D1707"/>
      <c r="E1707"/>
      <c r="F1707"/>
      <c r="G1707"/>
      <c r="H1707"/>
      <c r="I1707"/>
      <c r="J1707" s="3"/>
      <c r="K1707" s="2"/>
      <c r="L1707" s="10"/>
      <c r="M1707" s="10"/>
      <c r="N1707" s="9"/>
      <c r="O1707" s="6"/>
      <c r="P1707" s="8"/>
      <c r="Q1707" s="6"/>
      <c r="R1707" s="8"/>
      <c r="S1707" s="6"/>
      <c r="T1707" s="8"/>
      <c r="U1707" s="7"/>
      <c r="V1707" s="7"/>
      <c r="W1707" s="6"/>
      <c r="X1707" s="2"/>
      <c r="Y1707" s="2"/>
      <c r="Z1707" s="2"/>
      <c r="AA1707" s="2"/>
    </row>
    <row r="1708" spans="1:27" s="1" customFormat="1">
      <c r="A1708"/>
      <c r="B1708"/>
      <c r="C1708"/>
      <c r="D1708"/>
      <c r="E1708"/>
      <c r="F1708"/>
      <c r="G1708"/>
      <c r="H1708"/>
      <c r="I1708"/>
      <c r="J1708" s="3"/>
      <c r="K1708" s="11"/>
      <c r="L1708" s="10"/>
      <c r="M1708" s="10"/>
      <c r="N1708" s="9"/>
      <c r="O1708" s="6"/>
      <c r="P1708" s="8"/>
      <c r="Q1708" s="6"/>
      <c r="R1708" s="8"/>
      <c r="S1708" s="6"/>
      <c r="T1708" s="8"/>
      <c r="U1708" s="7"/>
      <c r="V1708" s="7"/>
      <c r="W1708" s="6"/>
      <c r="X1708" s="2"/>
      <c r="Y1708" s="2"/>
      <c r="Z1708" s="2"/>
      <c r="AA1708" s="2"/>
    </row>
    <row r="1709" spans="1:27" s="1" customFormat="1">
      <c r="A1709"/>
      <c r="B1709"/>
      <c r="C1709"/>
      <c r="D1709"/>
      <c r="E1709"/>
      <c r="F1709"/>
      <c r="G1709"/>
      <c r="H1709"/>
      <c r="I1709"/>
      <c r="J1709" s="3"/>
      <c r="K1709" s="2"/>
      <c r="L1709" s="10"/>
      <c r="M1709" s="10"/>
      <c r="N1709" s="9"/>
      <c r="O1709" s="6"/>
      <c r="P1709" s="8"/>
      <c r="Q1709" s="6"/>
      <c r="R1709" s="8"/>
      <c r="S1709" s="6"/>
      <c r="T1709" s="8"/>
      <c r="U1709" s="7"/>
      <c r="V1709" s="7"/>
      <c r="W1709" s="6"/>
      <c r="X1709" s="2"/>
      <c r="Y1709" s="2"/>
      <c r="Z1709" s="2"/>
      <c r="AA1709" s="2"/>
    </row>
    <row r="1710" spans="1:27" s="1" customFormat="1">
      <c r="A1710"/>
      <c r="B1710"/>
      <c r="C1710"/>
      <c r="D1710"/>
      <c r="E1710"/>
      <c r="F1710"/>
      <c r="G1710"/>
      <c r="H1710"/>
      <c r="I1710"/>
      <c r="J1710" s="3"/>
      <c r="K1710" s="2"/>
      <c r="L1710" s="10"/>
      <c r="M1710" s="10"/>
      <c r="N1710" s="9"/>
      <c r="O1710" s="6"/>
      <c r="P1710" s="8"/>
      <c r="Q1710" s="6"/>
      <c r="R1710" s="8"/>
      <c r="S1710" s="6"/>
      <c r="T1710" s="8"/>
      <c r="U1710" s="7"/>
      <c r="V1710" s="7"/>
      <c r="W1710" s="6"/>
      <c r="X1710" s="2"/>
      <c r="Y1710" s="2"/>
      <c r="Z1710" s="2"/>
      <c r="AA1710" s="2"/>
    </row>
    <row r="1711" spans="1:27" s="1" customFormat="1">
      <c r="A1711"/>
      <c r="B1711"/>
      <c r="C1711"/>
      <c r="D1711"/>
      <c r="E1711"/>
      <c r="F1711"/>
      <c r="G1711"/>
      <c r="H1711"/>
      <c r="I1711"/>
      <c r="J1711" s="3"/>
      <c r="K1711" s="2"/>
      <c r="L1711" s="2"/>
      <c r="M1711" s="2"/>
      <c r="N1711" s="2"/>
      <c r="O1711" s="6"/>
      <c r="P1711" s="8"/>
      <c r="Q1711" s="6"/>
      <c r="R1711" s="8"/>
      <c r="S1711" s="6"/>
      <c r="T1711" s="8"/>
      <c r="U1711" s="7"/>
      <c r="V1711" s="7"/>
      <c r="W1711" s="6"/>
      <c r="X1711" s="2"/>
      <c r="Y1711" s="2"/>
      <c r="Z1711" s="2"/>
      <c r="AA1711" s="2"/>
    </row>
    <row r="1712" spans="1:27" s="1" customFormat="1">
      <c r="A1712"/>
      <c r="B1712"/>
      <c r="C1712"/>
      <c r="D1712"/>
      <c r="E1712"/>
      <c r="F1712"/>
      <c r="G1712"/>
      <c r="H1712"/>
      <c r="I1712"/>
      <c r="J1712" s="3"/>
      <c r="K1712" s="2"/>
      <c r="L1712" s="2"/>
      <c r="M1712" s="2"/>
      <c r="N1712" s="2"/>
      <c r="O1712" s="5"/>
      <c r="P1712" s="4"/>
      <c r="Q1712" s="2"/>
      <c r="R1712" s="2"/>
      <c r="S1712" s="2"/>
      <c r="T1712" s="2"/>
      <c r="U1712" s="2"/>
      <c r="V1712" s="2"/>
      <c r="W1712" s="2"/>
      <c r="X1712" s="2"/>
      <c r="Y1712" s="2"/>
      <c r="Z1712" s="2"/>
      <c r="AA1712" s="2"/>
    </row>
    <row r="1713" spans="1:27" s="1" customFormat="1">
      <c r="A1713"/>
      <c r="B1713"/>
      <c r="C1713"/>
      <c r="D1713"/>
      <c r="E1713"/>
      <c r="F1713"/>
      <c r="G1713"/>
      <c r="H1713"/>
      <c r="I1713"/>
      <c r="J1713" s="3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  <c r="X1713" s="2"/>
      <c r="Y1713" s="2"/>
      <c r="Z1713" s="2"/>
      <c r="AA1713" s="2"/>
    </row>
    <row r="1714" spans="1:27" s="1" customFormat="1">
      <c r="A1714"/>
      <c r="B1714"/>
      <c r="C1714"/>
      <c r="D1714"/>
      <c r="E1714"/>
      <c r="F1714"/>
      <c r="G1714"/>
      <c r="H1714"/>
      <c r="I1714"/>
      <c r="J1714" s="3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  <c r="X1714" s="2"/>
      <c r="Y1714" s="2"/>
      <c r="Z1714" s="2"/>
      <c r="AA1714" s="2"/>
    </row>
    <row r="1715" spans="1:27" s="1" customFormat="1">
      <c r="A1715"/>
      <c r="B1715"/>
      <c r="C1715"/>
      <c r="D1715"/>
      <c r="E1715"/>
      <c r="F1715"/>
      <c r="G1715"/>
      <c r="H1715"/>
      <c r="I1715"/>
      <c r="J1715" s="3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  <c r="X1715" s="2"/>
      <c r="Y1715" s="2"/>
      <c r="Z1715" s="2"/>
      <c r="AA1715" s="2"/>
    </row>
    <row r="1716" spans="1:27" s="1" customFormat="1">
      <c r="A1716"/>
      <c r="B1716"/>
      <c r="C1716"/>
      <c r="D1716"/>
      <c r="E1716"/>
      <c r="F1716"/>
      <c r="G1716"/>
      <c r="H1716"/>
      <c r="I1716"/>
      <c r="J1716" s="3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  <c r="X1716" s="2"/>
      <c r="Y1716" s="2"/>
      <c r="Z1716" s="2"/>
      <c r="AA1716" s="2"/>
    </row>
    <row r="1717" spans="1:27" s="1" customFormat="1">
      <c r="A1717"/>
      <c r="B1717"/>
      <c r="C1717"/>
      <c r="D1717"/>
      <c r="E1717"/>
      <c r="F1717"/>
      <c r="G1717"/>
      <c r="H1717"/>
      <c r="I1717"/>
      <c r="J1717" s="3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  <c r="X1717" s="2"/>
      <c r="Y1717" s="2"/>
      <c r="Z1717" s="2"/>
      <c r="AA1717" s="2"/>
    </row>
    <row r="1718" spans="1:27" s="1" customFormat="1">
      <c r="A1718"/>
      <c r="B1718"/>
      <c r="C1718"/>
      <c r="D1718"/>
      <c r="E1718"/>
      <c r="F1718"/>
      <c r="G1718"/>
      <c r="H1718"/>
      <c r="I1718"/>
      <c r="J1718" s="3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  <c r="X1718" s="2"/>
      <c r="Y1718" s="2"/>
      <c r="Z1718" s="2"/>
      <c r="AA1718" s="2"/>
    </row>
    <row r="1719" spans="1:27" s="1" customFormat="1">
      <c r="A1719"/>
      <c r="B1719"/>
      <c r="C1719"/>
      <c r="D1719"/>
      <c r="E1719"/>
      <c r="F1719"/>
      <c r="G1719"/>
      <c r="H1719"/>
      <c r="I1719"/>
      <c r="J1719" s="3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  <c r="X1719" s="2"/>
      <c r="Y1719" s="2"/>
      <c r="Z1719" s="2"/>
      <c r="AA1719" s="2"/>
    </row>
    <row r="1720" spans="1:27" s="1" customFormat="1">
      <c r="A1720"/>
      <c r="B1720"/>
      <c r="C1720"/>
      <c r="D1720"/>
      <c r="E1720"/>
      <c r="F1720"/>
      <c r="G1720"/>
      <c r="H1720"/>
      <c r="I1720"/>
      <c r="J1720" s="3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  <c r="X1720" s="2"/>
      <c r="Y1720" s="2"/>
      <c r="Z1720" s="2"/>
      <c r="AA1720" s="2"/>
    </row>
    <row r="1721" spans="1:27" s="1" customFormat="1">
      <c r="A1721"/>
      <c r="B1721"/>
      <c r="C1721"/>
      <c r="D1721"/>
      <c r="E1721"/>
      <c r="F1721"/>
      <c r="G1721"/>
      <c r="H1721"/>
      <c r="I1721"/>
      <c r="J1721" s="3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  <c r="X1721" s="2"/>
      <c r="Y1721" s="2"/>
      <c r="Z1721" s="2"/>
      <c r="AA1721" s="2"/>
    </row>
    <row r="1722" spans="1:27" s="1" customFormat="1">
      <c r="A1722"/>
      <c r="B1722"/>
      <c r="C1722"/>
      <c r="D1722"/>
      <c r="E1722"/>
      <c r="F1722"/>
      <c r="G1722"/>
      <c r="H1722"/>
      <c r="I1722"/>
      <c r="J1722" s="3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  <c r="X1722" s="2"/>
      <c r="Y1722" s="2"/>
      <c r="Z1722" s="2"/>
      <c r="AA1722" s="2"/>
    </row>
    <row r="1723" spans="1:27" s="1" customFormat="1">
      <c r="A1723"/>
      <c r="B1723"/>
      <c r="C1723"/>
      <c r="D1723"/>
      <c r="E1723"/>
      <c r="F1723"/>
      <c r="G1723"/>
      <c r="H1723"/>
      <c r="I1723"/>
      <c r="J1723" s="3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  <c r="X1723" s="2"/>
      <c r="Y1723" s="2"/>
      <c r="Z1723" s="2"/>
      <c r="AA1723" s="2"/>
    </row>
    <row r="1724" spans="1:27" s="1" customFormat="1">
      <c r="A1724"/>
      <c r="B1724"/>
      <c r="C1724"/>
      <c r="D1724"/>
      <c r="E1724"/>
      <c r="F1724"/>
      <c r="G1724"/>
      <c r="H1724"/>
      <c r="I1724"/>
      <c r="J1724" s="3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  <c r="X1724" s="2"/>
      <c r="Y1724" s="2"/>
      <c r="Z1724" s="2"/>
      <c r="AA1724" s="2"/>
    </row>
    <row r="1725" spans="1:27" s="1" customFormat="1">
      <c r="A1725"/>
      <c r="B1725"/>
      <c r="C1725"/>
      <c r="D1725"/>
      <c r="E1725"/>
      <c r="F1725"/>
      <c r="G1725"/>
      <c r="H1725"/>
      <c r="I1725"/>
      <c r="J1725" s="3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  <c r="X1725" s="2"/>
      <c r="Y1725" s="2"/>
      <c r="Z1725" s="2"/>
      <c r="AA1725" s="2"/>
    </row>
    <row r="1726" spans="1:27" s="1" customFormat="1">
      <c r="A1726"/>
      <c r="B1726"/>
      <c r="C1726"/>
      <c r="D1726"/>
      <c r="E1726"/>
      <c r="F1726"/>
      <c r="G1726"/>
      <c r="H1726"/>
      <c r="I1726"/>
      <c r="J1726" s="3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  <c r="X1726" s="2"/>
      <c r="Y1726" s="2"/>
      <c r="Z1726" s="2"/>
      <c r="AA1726" s="2"/>
    </row>
    <row r="1727" spans="1:27" s="1" customFormat="1">
      <c r="A1727"/>
      <c r="B1727"/>
      <c r="C1727"/>
      <c r="D1727"/>
      <c r="E1727"/>
      <c r="F1727"/>
      <c r="G1727"/>
      <c r="H1727"/>
      <c r="I1727"/>
      <c r="J1727" s="3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  <c r="X1727" s="2"/>
      <c r="Y1727" s="2"/>
      <c r="Z1727" s="2"/>
      <c r="AA1727" s="2"/>
    </row>
    <row r="1728" spans="1:27" s="1" customFormat="1">
      <c r="A1728"/>
      <c r="B1728"/>
      <c r="C1728"/>
      <c r="D1728"/>
      <c r="E1728"/>
      <c r="F1728"/>
      <c r="G1728"/>
      <c r="H1728"/>
      <c r="I1728"/>
      <c r="J1728" s="3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  <c r="X1728" s="2"/>
      <c r="Y1728" s="2"/>
      <c r="Z1728" s="2"/>
      <c r="AA1728" s="2"/>
    </row>
    <row r="1729" spans="1:27" s="1" customFormat="1">
      <c r="A1729"/>
      <c r="B1729"/>
      <c r="C1729"/>
      <c r="D1729"/>
      <c r="E1729"/>
      <c r="F1729"/>
      <c r="G1729"/>
      <c r="H1729"/>
      <c r="I1729"/>
      <c r="K1729" s="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2"/>
      <c r="W1729" s="12"/>
      <c r="X1729" s="2"/>
      <c r="Y1729" s="2"/>
      <c r="Z1729" s="2"/>
      <c r="AA1729" s="2"/>
    </row>
    <row r="1730" spans="1:27" s="1" customFormat="1">
      <c r="A1730"/>
      <c r="B1730"/>
      <c r="C1730"/>
      <c r="D1730"/>
      <c r="E1730"/>
      <c r="F1730"/>
      <c r="G1730"/>
      <c r="H1730"/>
      <c r="I1730"/>
      <c r="K1730" s="2"/>
      <c r="L1730" s="14"/>
      <c r="M1730" s="14"/>
      <c r="N1730" s="14"/>
      <c r="O1730" s="12"/>
      <c r="P1730" s="12"/>
      <c r="Q1730" s="12"/>
      <c r="R1730" s="14"/>
      <c r="S1730" s="14"/>
      <c r="T1730" s="12"/>
      <c r="U1730" s="2"/>
      <c r="V1730" s="12"/>
      <c r="W1730" s="2"/>
      <c r="X1730" s="2"/>
      <c r="Y1730" s="2"/>
      <c r="Z1730" s="2"/>
      <c r="AA1730" s="2"/>
    </row>
    <row r="1731" spans="1:27" s="1" customFormat="1">
      <c r="A1731"/>
      <c r="B1731"/>
      <c r="C1731"/>
      <c r="D1731"/>
      <c r="E1731"/>
      <c r="F1731"/>
      <c r="G1731"/>
      <c r="H1731"/>
      <c r="I1731"/>
      <c r="K1731" s="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3"/>
      <c r="V1731" s="13"/>
      <c r="W1731" s="12"/>
      <c r="X1731" s="2"/>
      <c r="Y1731" s="2"/>
      <c r="Z1731" s="2"/>
      <c r="AA1731" s="2"/>
    </row>
    <row r="1732" spans="1:27" s="1" customFormat="1">
      <c r="A1732"/>
      <c r="B1732"/>
      <c r="C1732"/>
      <c r="D1732"/>
      <c r="E1732"/>
      <c r="F1732"/>
      <c r="G1732"/>
      <c r="H1732"/>
      <c r="I1732"/>
      <c r="K1732" s="2"/>
      <c r="L1732" s="10"/>
      <c r="M1732" s="10"/>
      <c r="N1732" s="9"/>
      <c r="O1732" s="6"/>
      <c r="P1732" s="8"/>
      <c r="Q1732" s="6"/>
      <c r="R1732" s="8"/>
      <c r="S1732" s="6"/>
      <c r="T1732" s="8"/>
      <c r="U1732" s="7"/>
      <c r="V1732" s="7"/>
      <c r="W1732" s="6"/>
      <c r="X1732" s="2"/>
      <c r="Y1732" s="2"/>
      <c r="Z1732" s="2"/>
      <c r="AA1732" s="2"/>
    </row>
    <row r="1733" spans="1:27" s="1" customFormat="1">
      <c r="A1733"/>
      <c r="B1733"/>
      <c r="C1733"/>
      <c r="D1733"/>
      <c r="E1733"/>
      <c r="F1733"/>
      <c r="G1733"/>
      <c r="H1733"/>
      <c r="I1733"/>
      <c r="K1733" s="11"/>
      <c r="L1733" s="10"/>
      <c r="M1733" s="10"/>
      <c r="N1733" s="9"/>
      <c r="O1733" s="6"/>
      <c r="P1733" s="8"/>
      <c r="Q1733" s="6"/>
      <c r="R1733" s="8"/>
      <c r="S1733" s="6"/>
      <c r="T1733" s="8"/>
      <c r="U1733" s="7"/>
      <c r="V1733" s="7"/>
      <c r="W1733" s="6"/>
      <c r="X1733" s="2"/>
      <c r="Y1733" s="2"/>
      <c r="Z1733" s="2"/>
      <c r="AA1733" s="2"/>
    </row>
    <row r="1734" spans="1:27" s="1" customFormat="1">
      <c r="A1734"/>
      <c r="B1734"/>
      <c r="C1734"/>
      <c r="D1734"/>
      <c r="E1734"/>
      <c r="F1734"/>
      <c r="G1734"/>
      <c r="H1734"/>
      <c r="I1734"/>
      <c r="K1734" s="2"/>
      <c r="L1734" s="10"/>
      <c r="M1734" s="10"/>
      <c r="N1734" s="9"/>
      <c r="O1734" s="6"/>
      <c r="P1734" s="8"/>
      <c r="Q1734" s="6"/>
      <c r="R1734" s="8"/>
      <c r="S1734" s="6"/>
      <c r="T1734" s="8"/>
      <c r="U1734" s="7"/>
      <c r="V1734" s="7"/>
      <c r="W1734" s="6"/>
      <c r="X1734" s="2"/>
      <c r="Y1734" s="2"/>
      <c r="Z1734" s="2"/>
      <c r="AA1734" s="2"/>
    </row>
    <row r="1735" spans="1:27" s="1" customFormat="1">
      <c r="A1735"/>
      <c r="B1735"/>
      <c r="C1735"/>
      <c r="D1735"/>
      <c r="E1735"/>
      <c r="F1735"/>
      <c r="G1735"/>
      <c r="H1735"/>
      <c r="I1735"/>
      <c r="K1735" s="2"/>
      <c r="L1735" s="10"/>
      <c r="M1735" s="10"/>
      <c r="N1735" s="9"/>
      <c r="O1735" s="6"/>
      <c r="P1735" s="8"/>
      <c r="Q1735" s="6"/>
      <c r="R1735" s="8"/>
      <c r="S1735" s="6"/>
      <c r="T1735" s="8"/>
      <c r="U1735" s="7"/>
      <c r="V1735" s="7"/>
      <c r="W1735" s="6"/>
      <c r="X1735" s="2"/>
      <c r="Y1735" s="2"/>
      <c r="Z1735" s="2"/>
      <c r="AA1735" s="2"/>
    </row>
    <row r="1736" spans="1:27" s="1" customFormat="1">
      <c r="A1736"/>
      <c r="B1736"/>
      <c r="C1736"/>
      <c r="D1736"/>
      <c r="E1736"/>
      <c r="F1736"/>
      <c r="G1736"/>
      <c r="H1736"/>
      <c r="I1736"/>
      <c r="K1736" s="2"/>
      <c r="L1736" s="2"/>
      <c r="M1736" s="2"/>
      <c r="N1736" s="2"/>
      <c r="O1736" s="6"/>
      <c r="P1736" s="8"/>
      <c r="Q1736" s="6"/>
      <c r="R1736" s="8"/>
      <c r="S1736" s="6"/>
      <c r="T1736" s="8"/>
      <c r="U1736" s="7"/>
      <c r="V1736" s="7"/>
      <c r="W1736" s="6"/>
      <c r="X1736" s="2"/>
      <c r="Y1736" s="2"/>
      <c r="Z1736" s="2"/>
      <c r="AA1736" s="2"/>
    </row>
    <row r="1737" spans="1:27" s="1" customFormat="1">
      <c r="A1737"/>
      <c r="B1737"/>
      <c r="C1737"/>
      <c r="D1737"/>
      <c r="E1737"/>
      <c r="F1737"/>
      <c r="G1737"/>
      <c r="H1737"/>
      <c r="I1737"/>
      <c r="K1737" s="2"/>
      <c r="L1737" s="2"/>
      <c r="M1737" s="2"/>
      <c r="N1737" s="2"/>
      <c r="O1737" s="5"/>
      <c r="P1737" s="4"/>
      <c r="Q1737" s="2"/>
      <c r="R1737" s="2"/>
      <c r="S1737" s="2"/>
      <c r="T1737" s="2"/>
      <c r="U1737" s="2"/>
      <c r="V1737" s="2"/>
      <c r="W1737" s="2"/>
      <c r="X1737" s="2"/>
      <c r="Y1737" s="2"/>
      <c r="Z1737" s="2"/>
      <c r="AA1737" s="2"/>
    </row>
    <row r="1738" spans="1:27" s="1" customFormat="1">
      <c r="A1738"/>
      <c r="B1738"/>
      <c r="C1738"/>
      <c r="D1738"/>
      <c r="E1738"/>
      <c r="F1738"/>
      <c r="G1738"/>
      <c r="H1738"/>
      <c r="I1738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  <c r="X1738" s="2"/>
      <c r="Y1738" s="2"/>
      <c r="Z1738" s="2"/>
      <c r="AA1738" s="2"/>
    </row>
    <row r="1739" spans="1:27" s="1" customFormat="1">
      <c r="A1739"/>
      <c r="B1739"/>
      <c r="C1739"/>
      <c r="D1739"/>
      <c r="E1739"/>
      <c r="F1739"/>
      <c r="G1739"/>
      <c r="H1739"/>
      <c r="I1739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  <c r="X1739" s="2"/>
      <c r="Y1739" s="2"/>
      <c r="Z1739" s="2"/>
      <c r="AA1739" s="2"/>
    </row>
    <row r="1740" spans="1:27" s="1" customFormat="1">
      <c r="A1740"/>
      <c r="B1740"/>
      <c r="C1740"/>
      <c r="D1740"/>
      <c r="E1740"/>
      <c r="F1740"/>
      <c r="G1740"/>
      <c r="H1740"/>
      <c r="I1740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  <c r="X1740" s="2"/>
      <c r="Y1740" s="2"/>
      <c r="Z1740" s="2"/>
      <c r="AA1740" s="2"/>
    </row>
    <row r="1741" spans="1:27" s="1" customFormat="1">
      <c r="A1741"/>
      <c r="B1741"/>
      <c r="C1741"/>
      <c r="D1741"/>
      <c r="E1741"/>
      <c r="F1741"/>
      <c r="G1741"/>
      <c r="H1741"/>
      <c r="I1741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  <c r="X1741" s="2"/>
      <c r="Y1741" s="2"/>
      <c r="Z1741" s="2"/>
      <c r="AA1741" s="2"/>
    </row>
    <row r="1742" spans="1:27" s="1" customFormat="1">
      <c r="A1742"/>
      <c r="B1742"/>
      <c r="C1742"/>
      <c r="D1742"/>
      <c r="E1742"/>
      <c r="F1742"/>
      <c r="G1742"/>
      <c r="H1742"/>
      <c r="I174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  <c r="X1742" s="2"/>
      <c r="Y1742" s="2"/>
      <c r="Z1742" s="2"/>
      <c r="AA1742" s="2"/>
    </row>
    <row r="1743" spans="1:27" s="1" customFormat="1">
      <c r="A1743"/>
      <c r="B1743"/>
      <c r="C1743"/>
      <c r="D1743"/>
      <c r="E1743"/>
      <c r="F1743"/>
      <c r="G1743"/>
      <c r="H1743"/>
      <c r="I1743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  <c r="X1743" s="2"/>
      <c r="Y1743" s="2"/>
      <c r="Z1743" s="2"/>
      <c r="AA1743" s="2"/>
    </row>
    <row r="1744" spans="1:27" s="1" customFormat="1">
      <c r="A1744"/>
      <c r="B1744"/>
      <c r="C1744"/>
      <c r="D1744"/>
      <c r="E1744"/>
      <c r="F1744"/>
      <c r="G1744"/>
      <c r="H1744"/>
      <c r="I1744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  <c r="X1744" s="2"/>
      <c r="Y1744" s="2"/>
      <c r="Z1744" s="2"/>
      <c r="AA1744" s="2"/>
    </row>
    <row r="1745" spans="1:27" s="1" customFormat="1">
      <c r="A1745"/>
      <c r="B1745"/>
      <c r="C1745"/>
      <c r="D1745"/>
      <c r="E1745"/>
      <c r="F1745"/>
      <c r="G1745"/>
      <c r="H1745"/>
      <c r="I1745"/>
      <c r="J1745" s="3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  <c r="X1745" s="2"/>
      <c r="Y1745" s="2"/>
      <c r="Z1745" s="2"/>
      <c r="AA1745" s="2"/>
    </row>
    <row r="1746" spans="1:27" s="1" customFormat="1">
      <c r="A1746"/>
      <c r="B1746"/>
      <c r="C1746"/>
      <c r="D1746"/>
      <c r="E1746"/>
      <c r="F1746"/>
      <c r="G1746"/>
      <c r="H1746"/>
      <c r="I1746"/>
      <c r="J1746" s="3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  <c r="X1746" s="2"/>
      <c r="Y1746" s="2"/>
      <c r="Z1746" s="2"/>
      <c r="AA1746" s="2"/>
    </row>
    <row r="1747" spans="1:27" s="1" customFormat="1">
      <c r="A1747"/>
      <c r="B1747"/>
      <c r="C1747"/>
      <c r="D1747"/>
      <c r="E1747"/>
      <c r="F1747"/>
      <c r="G1747"/>
      <c r="H1747"/>
      <c r="I1747"/>
      <c r="J1747" s="3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  <c r="X1747" s="2"/>
      <c r="Y1747" s="2"/>
      <c r="Z1747" s="2"/>
      <c r="AA1747" s="2"/>
    </row>
    <row r="1748" spans="1:27" s="1" customFormat="1">
      <c r="A1748"/>
      <c r="B1748"/>
      <c r="C1748"/>
      <c r="D1748"/>
      <c r="E1748"/>
      <c r="F1748"/>
      <c r="G1748"/>
      <c r="H1748"/>
      <c r="I1748"/>
      <c r="J1748" s="3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  <c r="X1748" s="2"/>
      <c r="Y1748" s="2"/>
      <c r="Z1748" s="2"/>
      <c r="AA1748" s="2"/>
    </row>
    <row r="1749" spans="1:27" s="1" customFormat="1">
      <c r="A1749"/>
      <c r="B1749"/>
      <c r="C1749"/>
      <c r="D1749"/>
      <c r="E1749"/>
      <c r="F1749"/>
      <c r="G1749"/>
      <c r="H1749"/>
      <c r="I1749"/>
      <c r="J1749" s="3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  <c r="X1749" s="2"/>
      <c r="Y1749" s="2"/>
      <c r="Z1749" s="2"/>
      <c r="AA1749" s="2"/>
    </row>
    <row r="1750" spans="1:27" s="1" customFormat="1">
      <c r="A1750"/>
      <c r="B1750"/>
      <c r="C1750"/>
      <c r="D1750"/>
      <c r="E1750"/>
      <c r="F1750"/>
      <c r="G1750"/>
      <c r="H1750"/>
      <c r="I1750"/>
      <c r="J1750" s="3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  <c r="X1750" s="2"/>
      <c r="Y1750" s="2"/>
      <c r="Z1750" s="2"/>
      <c r="AA1750" s="2"/>
    </row>
    <row r="1751" spans="1:27" s="1" customFormat="1">
      <c r="A1751"/>
      <c r="B1751"/>
      <c r="C1751"/>
      <c r="D1751"/>
      <c r="E1751"/>
      <c r="F1751"/>
      <c r="G1751"/>
      <c r="H1751"/>
      <c r="I1751"/>
      <c r="J1751" s="3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  <c r="X1751" s="2"/>
      <c r="Y1751" s="2"/>
      <c r="Z1751" s="2"/>
      <c r="AA1751" s="2"/>
    </row>
    <row r="1752" spans="1:27" s="1" customFormat="1">
      <c r="A1752"/>
      <c r="B1752"/>
      <c r="C1752"/>
      <c r="D1752"/>
      <c r="E1752"/>
      <c r="F1752"/>
      <c r="G1752"/>
      <c r="H1752"/>
      <c r="I1752"/>
      <c r="J1752" s="3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  <c r="X1752" s="2"/>
      <c r="Y1752" s="2"/>
      <c r="Z1752" s="2"/>
      <c r="AA1752" s="2"/>
    </row>
    <row r="1753" spans="1:27" s="1" customFormat="1">
      <c r="A1753"/>
      <c r="B1753"/>
      <c r="C1753"/>
      <c r="D1753"/>
      <c r="E1753"/>
      <c r="F1753"/>
      <c r="G1753"/>
      <c r="H1753"/>
      <c r="I1753"/>
      <c r="J1753" s="3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  <c r="X1753" s="2"/>
      <c r="Y1753" s="2"/>
      <c r="Z1753" s="2"/>
      <c r="AA1753" s="2"/>
    </row>
    <row r="1754" spans="1:27" s="1" customFormat="1">
      <c r="A1754"/>
      <c r="B1754"/>
      <c r="C1754"/>
      <c r="D1754"/>
      <c r="E1754"/>
      <c r="F1754"/>
      <c r="G1754"/>
      <c r="H1754"/>
      <c r="I1754"/>
      <c r="J1754" s="3"/>
      <c r="K1754" s="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2"/>
      <c r="W1754" s="12"/>
      <c r="X1754" s="2"/>
      <c r="Y1754" s="2"/>
      <c r="Z1754" s="2"/>
      <c r="AA1754" s="2"/>
    </row>
    <row r="1755" spans="1:27" s="1" customFormat="1">
      <c r="A1755"/>
      <c r="B1755"/>
      <c r="C1755"/>
      <c r="D1755"/>
      <c r="E1755"/>
      <c r="F1755"/>
      <c r="G1755"/>
      <c r="H1755"/>
      <c r="I1755"/>
      <c r="J1755" s="3"/>
      <c r="K1755" s="2"/>
      <c r="L1755" s="14"/>
      <c r="M1755" s="14"/>
      <c r="N1755" s="14"/>
      <c r="O1755" s="12"/>
      <c r="P1755" s="12"/>
      <c r="Q1755" s="12"/>
      <c r="R1755" s="14"/>
      <c r="S1755" s="14"/>
      <c r="T1755" s="12"/>
      <c r="U1755" s="2"/>
      <c r="V1755" s="12"/>
      <c r="W1755" s="2"/>
      <c r="X1755" s="2"/>
      <c r="Y1755" s="2"/>
      <c r="Z1755" s="2"/>
      <c r="AA1755" s="2"/>
    </row>
    <row r="1756" spans="1:27" s="1" customFormat="1">
      <c r="A1756"/>
      <c r="B1756"/>
      <c r="C1756"/>
      <c r="D1756"/>
      <c r="E1756"/>
      <c r="F1756"/>
      <c r="G1756"/>
      <c r="H1756"/>
      <c r="I1756"/>
      <c r="J1756" s="3"/>
      <c r="K1756" s="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3"/>
      <c r="V1756" s="13"/>
      <c r="W1756" s="12"/>
      <c r="X1756" s="2"/>
      <c r="Y1756" s="2"/>
      <c r="Z1756" s="2"/>
      <c r="AA1756" s="2"/>
    </row>
    <row r="1757" spans="1:27" s="1" customFormat="1">
      <c r="A1757"/>
      <c r="B1757"/>
      <c r="C1757"/>
      <c r="D1757"/>
      <c r="E1757"/>
      <c r="F1757"/>
      <c r="G1757"/>
      <c r="H1757"/>
      <c r="I1757"/>
      <c r="J1757" s="3"/>
      <c r="K1757" s="2"/>
      <c r="L1757" s="10"/>
      <c r="M1757" s="10"/>
      <c r="N1757" s="9"/>
      <c r="O1757" s="6"/>
      <c r="P1757" s="8"/>
      <c r="Q1757" s="6"/>
      <c r="R1757" s="8"/>
      <c r="S1757" s="6"/>
      <c r="T1757" s="8"/>
      <c r="U1757" s="7"/>
      <c r="V1757" s="7"/>
      <c r="W1757" s="6"/>
      <c r="X1757" s="2"/>
      <c r="Y1757" s="2"/>
      <c r="Z1757" s="2"/>
      <c r="AA1757" s="2"/>
    </row>
    <row r="1758" spans="1:27" s="1" customFormat="1">
      <c r="A1758"/>
      <c r="B1758"/>
      <c r="C1758"/>
      <c r="D1758"/>
      <c r="E1758"/>
      <c r="F1758"/>
      <c r="G1758"/>
      <c r="H1758"/>
      <c r="I1758"/>
      <c r="J1758" s="3"/>
      <c r="K1758" s="11"/>
      <c r="L1758" s="10"/>
      <c r="M1758" s="10"/>
      <c r="N1758" s="9"/>
      <c r="O1758" s="6"/>
      <c r="P1758" s="8"/>
      <c r="Q1758" s="6"/>
      <c r="R1758" s="8"/>
      <c r="S1758" s="6"/>
      <c r="T1758" s="8"/>
      <c r="U1758" s="7"/>
      <c r="V1758" s="7"/>
      <c r="W1758" s="6"/>
      <c r="X1758" s="2"/>
      <c r="Y1758" s="2"/>
      <c r="Z1758" s="2"/>
      <c r="AA1758" s="2"/>
    </row>
    <row r="1759" spans="1:27" s="1" customFormat="1">
      <c r="A1759"/>
      <c r="B1759"/>
      <c r="C1759"/>
      <c r="D1759"/>
      <c r="E1759"/>
      <c r="F1759"/>
      <c r="G1759"/>
      <c r="H1759"/>
      <c r="I1759"/>
      <c r="J1759" s="3"/>
      <c r="K1759" s="2"/>
      <c r="L1759" s="10"/>
      <c r="M1759" s="10"/>
      <c r="N1759" s="9"/>
      <c r="O1759" s="6"/>
      <c r="P1759" s="8"/>
      <c r="Q1759" s="6"/>
      <c r="R1759" s="8"/>
      <c r="S1759" s="6"/>
      <c r="T1759" s="8"/>
      <c r="U1759" s="7"/>
      <c r="V1759" s="7"/>
      <c r="W1759" s="6"/>
      <c r="X1759" s="2"/>
      <c r="Y1759" s="2"/>
      <c r="Z1759" s="2"/>
      <c r="AA1759" s="2"/>
    </row>
    <row r="1760" spans="1:27" s="1" customFormat="1">
      <c r="A1760"/>
      <c r="B1760"/>
      <c r="C1760"/>
      <c r="D1760"/>
      <c r="E1760"/>
      <c r="F1760"/>
      <c r="G1760"/>
      <c r="H1760"/>
      <c r="I1760"/>
      <c r="J1760" s="3"/>
      <c r="K1760" s="2"/>
      <c r="L1760" s="10"/>
      <c r="M1760" s="10"/>
      <c r="N1760" s="9"/>
      <c r="O1760" s="6"/>
      <c r="P1760" s="8"/>
      <c r="Q1760" s="6"/>
      <c r="R1760" s="8"/>
      <c r="S1760" s="6"/>
      <c r="T1760" s="8"/>
      <c r="U1760" s="7"/>
      <c r="V1760" s="7"/>
      <c r="W1760" s="6"/>
      <c r="X1760" s="2"/>
      <c r="Y1760" s="2"/>
      <c r="Z1760" s="2"/>
      <c r="AA1760" s="2"/>
    </row>
    <row r="1761" spans="1:27" s="1" customFormat="1">
      <c r="A1761"/>
      <c r="B1761"/>
      <c r="C1761"/>
      <c r="D1761"/>
      <c r="E1761"/>
      <c r="F1761"/>
      <c r="G1761"/>
      <c r="H1761"/>
      <c r="I1761"/>
      <c r="J1761" s="3"/>
      <c r="K1761" s="2"/>
      <c r="L1761" s="2"/>
      <c r="M1761" s="2"/>
      <c r="N1761" s="2"/>
      <c r="O1761" s="6"/>
      <c r="P1761" s="8"/>
      <c r="Q1761" s="6"/>
      <c r="R1761" s="8"/>
      <c r="S1761" s="6"/>
      <c r="T1761" s="8"/>
      <c r="U1761" s="7"/>
      <c r="V1761" s="7"/>
      <c r="W1761" s="6"/>
      <c r="X1761" s="2"/>
      <c r="Y1761" s="2"/>
      <c r="Z1761" s="2"/>
      <c r="AA1761" s="2"/>
    </row>
    <row r="1762" spans="1:27" s="1" customFormat="1">
      <c r="A1762"/>
      <c r="B1762"/>
      <c r="C1762"/>
      <c r="D1762"/>
      <c r="E1762"/>
      <c r="F1762"/>
      <c r="G1762"/>
      <c r="H1762"/>
      <c r="I1762"/>
      <c r="J1762" s="3"/>
      <c r="K1762" s="2"/>
      <c r="L1762" s="2"/>
      <c r="M1762" s="2"/>
      <c r="N1762" s="2"/>
      <c r="O1762" s="5"/>
      <c r="P1762" s="4"/>
      <c r="Q1762" s="2"/>
      <c r="R1762" s="2"/>
      <c r="S1762" s="2"/>
      <c r="T1762" s="2"/>
      <c r="U1762" s="2"/>
      <c r="V1762" s="2"/>
      <c r="W1762" s="2"/>
      <c r="X1762" s="2"/>
      <c r="Y1762" s="2"/>
      <c r="Z1762" s="2"/>
      <c r="AA1762" s="2"/>
    </row>
    <row r="1763" spans="1:27" s="1" customFormat="1">
      <c r="A1763"/>
      <c r="B1763"/>
      <c r="C1763"/>
      <c r="D1763"/>
      <c r="E1763"/>
      <c r="F1763"/>
      <c r="G1763"/>
      <c r="H1763"/>
      <c r="I1763"/>
      <c r="J1763" s="3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  <c r="X1763" s="2"/>
      <c r="Y1763" s="2"/>
      <c r="Z1763" s="2"/>
      <c r="AA1763" s="2"/>
    </row>
    <row r="1764" spans="1:27" s="1" customFormat="1">
      <c r="A1764"/>
      <c r="B1764"/>
      <c r="C1764"/>
      <c r="D1764"/>
      <c r="E1764"/>
      <c r="F1764"/>
      <c r="G1764"/>
      <c r="H1764"/>
      <c r="I1764"/>
      <c r="J1764" s="3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  <c r="X1764" s="2"/>
      <c r="Y1764" s="2"/>
      <c r="Z1764" s="2"/>
      <c r="AA1764" s="2"/>
    </row>
    <row r="1765" spans="1:27" s="1" customFormat="1">
      <c r="A1765"/>
      <c r="B1765"/>
      <c r="C1765"/>
      <c r="D1765"/>
      <c r="E1765"/>
      <c r="F1765"/>
      <c r="G1765"/>
      <c r="H1765"/>
      <c r="I1765"/>
      <c r="J1765" s="3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  <c r="X1765" s="2"/>
      <c r="Y1765" s="2"/>
      <c r="Z1765" s="2"/>
      <c r="AA1765" s="2"/>
    </row>
    <row r="1766" spans="1:27" s="1" customFormat="1">
      <c r="A1766"/>
      <c r="B1766"/>
      <c r="C1766"/>
      <c r="D1766"/>
      <c r="E1766"/>
      <c r="F1766"/>
      <c r="G1766"/>
      <c r="H1766"/>
      <c r="I1766"/>
      <c r="J1766" s="3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  <c r="X1766" s="2"/>
      <c r="Y1766" s="2"/>
      <c r="Z1766" s="2"/>
      <c r="AA1766" s="2"/>
    </row>
    <row r="1767" spans="1:27" s="1" customFormat="1">
      <c r="A1767"/>
      <c r="B1767"/>
      <c r="C1767"/>
      <c r="D1767"/>
      <c r="E1767"/>
      <c r="F1767"/>
      <c r="G1767"/>
      <c r="H1767"/>
      <c r="I1767"/>
      <c r="J1767" s="3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  <c r="X1767" s="2"/>
      <c r="Y1767" s="2"/>
      <c r="Z1767" s="2"/>
      <c r="AA1767" s="2"/>
    </row>
    <row r="1768" spans="1:27" s="1" customFormat="1">
      <c r="A1768"/>
      <c r="B1768"/>
      <c r="C1768"/>
      <c r="D1768"/>
      <c r="E1768"/>
      <c r="F1768"/>
      <c r="G1768"/>
      <c r="H1768"/>
      <c r="I1768"/>
      <c r="J1768" s="3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  <c r="X1768" s="2"/>
      <c r="Y1768" s="2"/>
      <c r="Z1768" s="2"/>
      <c r="AA1768" s="2"/>
    </row>
    <row r="1769" spans="1:27" s="1" customFormat="1">
      <c r="A1769"/>
      <c r="B1769"/>
      <c r="C1769"/>
      <c r="D1769"/>
      <c r="E1769"/>
      <c r="F1769"/>
      <c r="G1769"/>
      <c r="H1769"/>
      <c r="I1769"/>
      <c r="J1769" s="3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  <c r="X1769" s="2"/>
      <c r="Y1769" s="2"/>
      <c r="Z1769" s="2"/>
      <c r="AA1769" s="2"/>
    </row>
    <row r="1770" spans="1:27" s="1" customFormat="1">
      <c r="A1770"/>
      <c r="B1770"/>
      <c r="C1770"/>
      <c r="D1770"/>
      <c r="E1770"/>
      <c r="F1770"/>
      <c r="G1770"/>
      <c r="H1770"/>
      <c r="I1770"/>
      <c r="J1770" s="3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  <c r="X1770" s="2"/>
      <c r="Y1770" s="2"/>
      <c r="Z1770" s="2"/>
      <c r="AA1770" s="2"/>
    </row>
    <row r="1771" spans="1:27" s="1" customFormat="1">
      <c r="A1771"/>
      <c r="B1771"/>
      <c r="C1771"/>
      <c r="D1771"/>
      <c r="E1771"/>
      <c r="F1771"/>
      <c r="G1771"/>
      <c r="H1771"/>
      <c r="I1771"/>
      <c r="J1771" s="3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  <c r="X1771" s="2"/>
      <c r="Y1771" s="2"/>
      <c r="Z1771" s="2"/>
      <c r="AA1771" s="2"/>
    </row>
    <row r="1772" spans="1:27" s="1" customFormat="1">
      <c r="A1772"/>
      <c r="B1772"/>
      <c r="C1772"/>
      <c r="D1772"/>
      <c r="E1772"/>
      <c r="F1772"/>
      <c r="G1772"/>
      <c r="H1772"/>
      <c r="I1772"/>
      <c r="J1772" s="3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  <c r="X1772" s="2"/>
      <c r="Y1772" s="2"/>
      <c r="Z1772" s="2"/>
      <c r="AA1772" s="2"/>
    </row>
    <row r="1773" spans="1:27" s="1" customFormat="1">
      <c r="A1773"/>
      <c r="B1773"/>
      <c r="C1773"/>
      <c r="D1773"/>
      <c r="E1773"/>
      <c r="F1773"/>
      <c r="G1773"/>
      <c r="H1773"/>
      <c r="I1773"/>
      <c r="J1773" s="3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  <c r="X1773" s="2"/>
      <c r="Y1773" s="2"/>
      <c r="Z1773" s="2"/>
      <c r="AA1773" s="2"/>
    </row>
    <row r="1774" spans="1:27" s="1" customFormat="1">
      <c r="A1774"/>
      <c r="B1774"/>
      <c r="C1774"/>
      <c r="D1774"/>
      <c r="E1774"/>
      <c r="F1774"/>
      <c r="G1774"/>
      <c r="H1774"/>
      <c r="I1774"/>
      <c r="J1774" s="3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  <c r="X1774" s="2"/>
      <c r="Y1774" s="2"/>
      <c r="Z1774" s="2"/>
      <c r="AA1774" s="2"/>
    </row>
    <row r="1775" spans="1:27" s="1" customFormat="1">
      <c r="A1775"/>
      <c r="B1775"/>
      <c r="C1775"/>
      <c r="D1775"/>
      <c r="E1775"/>
      <c r="F1775"/>
      <c r="G1775"/>
      <c r="H1775"/>
      <c r="I1775"/>
      <c r="J1775" s="3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  <c r="X1775" s="2"/>
      <c r="Y1775" s="2"/>
      <c r="Z1775" s="2"/>
      <c r="AA1775" s="2"/>
    </row>
    <row r="1776" spans="1:27" s="1" customFormat="1">
      <c r="A1776"/>
      <c r="B1776"/>
      <c r="C1776"/>
      <c r="D1776"/>
      <c r="E1776"/>
      <c r="F1776"/>
      <c r="G1776"/>
      <c r="H1776"/>
      <c r="I1776"/>
      <c r="J1776" s="3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  <c r="X1776" s="2"/>
      <c r="Y1776" s="2"/>
      <c r="Z1776" s="2"/>
      <c r="AA1776" s="2"/>
    </row>
    <row r="1777" spans="1:27" s="1" customFormat="1">
      <c r="A1777"/>
      <c r="B1777"/>
      <c r="C1777"/>
      <c r="D1777"/>
      <c r="E1777"/>
      <c r="F1777"/>
      <c r="G1777"/>
      <c r="H1777"/>
      <c r="I1777"/>
      <c r="J1777" s="3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  <c r="X1777" s="2"/>
      <c r="Y1777" s="2"/>
      <c r="Z1777" s="2"/>
      <c r="AA1777" s="2"/>
    </row>
    <row r="1778" spans="1:27" s="1" customFormat="1">
      <c r="A1778"/>
      <c r="B1778"/>
      <c r="C1778"/>
      <c r="D1778"/>
      <c r="E1778"/>
      <c r="F1778"/>
      <c r="G1778"/>
      <c r="H1778"/>
      <c r="I1778"/>
      <c r="J1778" s="3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  <c r="X1778" s="2"/>
      <c r="Y1778" s="2"/>
      <c r="Z1778" s="2"/>
      <c r="AA1778" s="2"/>
    </row>
    <row r="1779" spans="1:27" s="1" customFormat="1">
      <c r="A1779"/>
      <c r="B1779"/>
      <c r="C1779"/>
      <c r="D1779"/>
      <c r="E1779"/>
      <c r="F1779"/>
      <c r="G1779"/>
      <c r="H1779"/>
      <c r="I1779"/>
      <c r="J1779" s="3"/>
      <c r="K1779" s="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2"/>
      <c r="W1779" s="12"/>
      <c r="X1779" s="2"/>
      <c r="Y1779" s="2"/>
      <c r="Z1779" s="2"/>
      <c r="AA1779" s="2"/>
    </row>
    <row r="1780" spans="1:27" s="1" customFormat="1">
      <c r="A1780"/>
      <c r="B1780"/>
      <c r="C1780"/>
      <c r="D1780"/>
      <c r="E1780"/>
      <c r="F1780"/>
      <c r="G1780"/>
      <c r="H1780"/>
      <c r="I1780"/>
      <c r="J1780" s="3"/>
      <c r="K1780" s="2"/>
      <c r="L1780" s="14"/>
      <c r="M1780" s="14"/>
      <c r="N1780" s="14"/>
      <c r="O1780" s="12"/>
      <c r="P1780" s="12"/>
      <c r="Q1780" s="12"/>
      <c r="R1780" s="14"/>
      <c r="S1780" s="14"/>
      <c r="T1780" s="12"/>
      <c r="U1780" s="2"/>
      <c r="V1780" s="12"/>
      <c r="W1780" s="2"/>
      <c r="X1780" s="2"/>
      <c r="Y1780" s="2"/>
      <c r="Z1780" s="2"/>
      <c r="AA1780" s="2"/>
    </row>
    <row r="1781" spans="1:27" s="1" customFormat="1">
      <c r="A1781"/>
      <c r="B1781"/>
      <c r="C1781"/>
      <c r="D1781"/>
      <c r="E1781"/>
      <c r="F1781"/>
      <c r="G1781"/>
      <c r="H1781"/>
      <c r="I1781"/>
      <c r="J1781" s="3"/>
      <c r="K1781" s="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3"/>
      <c r="V1781" s="13"/>
      <c r="W1781" s="12"/>
      <c r="X1781" s="2"/>
      <c r="Y1781" s="2"/>
      <c r="Z1781" s="2"/>
      <c r="AA1781" s="2"/>
    </row>
    <row r="1782" spans="1:27" s="1" customFormat="1">
      <c r="A1782"/>
      <c r="B1782"/>
      <c r="C1782"/>
      <c r="D1782"/>
      <c r="E1782"/>
      <c r="F1782"/>
      <c r="G1782"/>
      <c r="H1782"/>
      <c r="I1782"/>
      <c r="J1782" s="3"/>
      <c r="K1782" s="2"/>
      <c r="L1782" s="10"/>
      <c r="M1782" s="10"/>
      <c r="N1782" s="9"/>
      <c r="O1782" s="6"/>
      <c r="P1782" s="8"/>
      <c r="Q1782" s="6"/>
      <c r="R1782" s="8"/>
      <c r="S1782" s="6"/>
      <c r="T1782" s="8"/>
      <c r="U1782" s="7"/>
      <c r="V1782" s="7"/>
      <c r="W1782" s="6"/>
      <c r="X1782" s="2"/>
      <c r="Y1782" s="2"/>
      <c r="Z1782" s="2"/>
      <c r="AA1782" s="2"/>
    </row>
    <row r="1783" spans="1:27" s="1" customFormat="1">
      <c r="A1783"/>
      <c r="B1783"/>
      <c r="C1783"/>
      <c r="D1783"/>
      <c r="E1783"/>
      <c r="F1783"/>
      <c r="G1783"/>
      <c r="H1783"/>
      <c r="I1783"/>
      <c r="J1783" s="3"/>
      <c r="K1783" s="11"/>
      <c r="L1783" s="10"/>
      <c r="M1783" s="10"/>
      <c r="N1783" s="9"/>
      <c r="O1783" s="6"/>
      <c r="P1783" s="8"/>
      <c r="Q1783" s="6"/>
      <c r="R1783" s="8"/>
      <c r="S1783" s="6"/>
      <c r="T1783" s="8"/>
      <c r="U1783" s="7"/>
      <c r="V1783" s="7"/>
      <c r="W1783" s="6"/>
      <c r="X1783" s="2"/>
      <c r="Y1783" s="2"/>
      <c r="Z1783" s="2"/>
      <c r="AA1783" s="2"/>
    </row>
    <row r="1784" spans="1:27" s="1" customFormat="1">
      <c r="A1784"/>
      <c r="B1784"/>
      <c r="C1784"/>
      <c r="D1784"/>
      <c r="E1784"/>
      <c r="F1784"/>
      <c r="G1784"/>
      <c r="H1784"/>
      <c r="I1784"/>
      <c r="J1784" s="3"/>
      <c r="K1784" s="2"/>
      <c r="L1784" s="10"/>
      <c r="M1784" s="10"/>
      <c r="N1784" s="9"/>
      <c r="O1784" s="6"/>
      <c r="P1784" s="8"/>
      <c r="Q1784" s="6"/>
      <c r="R1784" s="8"/>
      <c r="S1784" s="6"/>
      <c r="T1784" s="8"/>
      <c r="U1784" s="7"/>
      <c r="V1784" s="7"/>
      <c r="W1784" s="6"/>
      <c r="X1784" s="2"/>
      <c r="Y1784" s="2"/>
      <c r="Z1784" s="2"/>
      <c r="AA1784" s="2"/>
    </row>
    <row r="1785" spans="1:27" s="1" customFormat="1">
      <c r="A1785"/>
      <c r="B1785"/>
      <c r="C1785"/>
      <c r="D1785"/>
      <c r="E1785"/>
      <c r="F1785"/>
      <c r="G1785"/>
      <c r="H1785"/>
      <c r="I1785"/>
      <c r="J1785" s="3"/>
      <c r="K1785" s="2"/>
      <c r="L1785" s="10"/>
      <c r="M1785" s="10"/>
      <c r="N1785" s="9"/>
      <c r="O1785" s="6"/>
      <c r="P1785" s="8"/>
      <c r="Q1785" s="6"/>
      <c r="R1785" s="8"/>
      <c r="S1785" s="6"/>
      <c r="T1785" s="8"/>
      <c r="U1785" s="7"/>
      <c r="V1785" s="7"/>
      <c r="W1785" s="6"/>
      <c r="X1785" s="2"/>
      <c r="Y1785" s="2"/>
      <c r="Z1785" s="2"/>
      <c r="AA1785" s="2"/>
    </row>
    <row r="1786" spans="1:27" s="1" customFormat="1">
      <c r="A1786"/>
      <c r="B1786"/>
      <c r="C1786"/>
      <c r="D1786"/>
      <c r="E1786"/>
      <c r="F1786"/>
      <c r="G1786"/>
      <c r="H1786"/>
      <c r="I1786"/>
      <c r="J1786" s="3"/>
      <c r="K1786" s="2"/>
      <c r="L1786" s="2"/>
      <c r="M1786" s="2"/>
      <c r="N1786" s="2"/>
      <c r="O1786" s="6"/>
      <c r="P1786" s="8"/>
      <c r="Q1786" s="6"/>
      <c r="R1786" s="8"/>
      <c r="S1786" s="6"/>
      <c r="T1786" s="8"/>
      <c r="U1786" s="7"/>
      <c r="V1786" s="7"/>
      <c r="W1786" s="6"/>
      <c r="X1786" s="2"/>
      <c r="Y1786" s="2"/>
      <c r="Z1786" s="2"/>
      <c r="AA1786" s="2"/>
    </row>
    <row r="1787" spans="1:27" s="1" customFormat="1">
      <c r="A1787"/>
      <c r="B1787"/>
      <c r="C1787"/>
      <c r="D1787"/>
      <c r="E1787"/>
      <c r="F1787"/>
      <c r="G1787"/>
      <c r="H1787"/>
      <c r="I1787"/>
      <c r="J1787" s="3"/>
      <c r="K1787" s="2"/>
      <c r="L1787" s="2"/>
      <c r="M1787" s="2"/>
      <c r="N1787" s="2"/>
      <c r="O1787" s="5"/>
      <c r="P1787" s="4"/>
      <c r="Q1787" s="2"/>
      <c r="R1787" s="2"/>
      <c r="S1787" s="2"/>
      <c r="T1787" s="2"/>
      <c r="U1787" s="2"/>
      <c r="V1787" s="2"/>
      <c r="W1787" s="2"/>
      <c r="X1787" s="2"/>
      <c r="Y1787" s="2"/>
      <c r="Z1787" s="2"/>
      <c r="AA1787" s="2"/>
    </row>
    <row r="1788" spans="1:27" s="1" customFormat="1">
      <c r="A1788"/>
      <c r="B1788"/>
      <c r="C1788"/>
      <c r="D1788"/>
      <c r="E1788"/>
      <c r="F1788"/>
      <c r="G1788"/>
      <c r="H1788"/>
      <c r="I1788"/>
      <c r="J1788" s="3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  <c r="X1788" s="2"/>
      <c r="Y1788" s="2"/>
      <c r="Z1788" s="2"/>
      <c r="AA1788" s="2"/>
    </row>
    <row r="1789" spans="1:27" s="1" customFormat="1">
      <c r="A1789"/>
      <c r="B1789"/>
      <c r="C1789"/>
      <c r="D1789"/>
      <c r="E1789"/>
      <c r="F1789"/>
      <c r="G1789"/>
      <c r="H1789"/>
      <c r="I1789"/>
      <c r="J1789" s="3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  <c r="X1789" s="2"/>
      <c r="Y1789" s="2"/>
      <c r="Z1789" s="2"/>
      <c r="AA1789" s="2"/>
    </row>
    <row r="1790" spans="1:27" s="1" customFormat="1">
      <c r="A1790"/>
      <c r="B1790"/>
      <c r="C1790"/>
      <c r="D1790"/>
      <c r="E1790"/>
      <c r="F1790"/>
      <c r="G1790"/>
      <c r="H1790"/>
      <c r="I1790"/>
      <c r="J1790" s="3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  <c r="X1790" s="2"/>
      <c r="Y1790" s="2"/>
      <c r="Z1790" s="2"/>
      <c r="AA1790" s="2"/>
    </row>
    <row r="1791" spans="1:27" s="1" customFormat="1">
      <c r="A1791"/>
      <c r="B1791"/>
      <c r="C1791"/>
      <c r="D1791"/>
      <c r="E1791"/>
      <c r="F1791"/>
      <c r="G1791"/>
      <c r="H1791"/>
      <c r="I1791"/>
      <c r="J1791" s="3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  <c r="X1791" s="2"/>
      <c r="Y1791" s="2"/>
      <c r="Z1791" s="2"/>
      <c r="AA1791" s="2"/>
    </row>
    <row r="1792" spans="1:27" s="1" customFormat="1">
      <c r="A1792"/>
      <c r="B1792"/>
      <c r="C1792"/>
      <c r="D1792"/>
      <c r="E1792"/>
      <c r="F1792"/>
      <c r="G1792"/>
      <c r="H1792"/>
      <c r="I1792"/>
      <c r="J1792" s="3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  <c r="X1792" s="2"/>
      <c r="Y1792" s="2"/>
      <c r="Z1792" s="2"/>
      <c r="AA1792" s="2"/>
    </row>
    <row r="1793" spans="1:27" s="1" customFormat="1">
      <c r="A1793"/>
      <c r="B1793"/>
      <c r="C1793"/>
      <c r="D1793"/>
      <c r="E1793"/>
      <c r="F1793"/>
      <c r="G1793"/>
      <c r="H1793"/>
      <c r="I1793"/>
      <c r="J1793" s="3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  <c r="X1793" s="2"/>
      <c r="Y1793" s="2"/>
      <c r="Z1793" s="2"/>
      <c r="AA1793" s="2"/>
    </row>
    <row r="1794" spans="1:27" s="1" customFormat="1">
      <c r="A1794"/>
      <c r="B1794"/>
      <c r="C1794"/>
      <c r="D1794"/>
      <c r="E1794"/>
      <c r="F1794"/>
      <c r="G1794"/>
      <c r="H1794"/>
      <c r="I1794"/>
      <c r="J1794" s="3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  <c r="X1794" s="2"/>
      <c r="Y1794" s="2"/>
      <c r="Z1794" s="2"/>
      <c r="AA1794" s="2"/>
    </row>
    <row r="1795" spans="1:27" s="1" customFormat="1">
      <c r="A1795"/>
      <c r="B1795"/>
      <c r="C1795"/>
      <c r="D1795"/>
      <c r="E1795"/>
      <c r="F1795"/>
      <c r="G1795"/>
      <c r="H1795"/>
      <c r="I1795"/>
      <c r="J1795" s="3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  <c r="X1795" s="2"/>
      <c r="Y1795" s="2"/>
      <c r="Z1795" s="2"/>
      <c r="AA1795" s="2"/>
    </row>
    <row r="1796" spans="1:27" s="1" customFormat="1">
      <c r="A1796"/>
      <c r="B1796"/>
      <c r="C1796"/>
      <c r="D1796"/>
      <c r="E1796"/>
      <c r="F1796"/>
      <c r="G1796"/>
      <c r="H1796"/>
      <c r="I1796"/>
      <c r="J1796" s="3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  <c r="X1796" s="2"/>
      <c r="Y1796" s="2"/>
      <c r="Z1796" s="2"/>
      <c r="AA1796" s="2"/>
    </row>
    <row r="1797" spans="1:27" s="1" customFormat="1">
      <c r="A1797"/>
      <c r="B1797"/>
      <c r="C1797"/>
      <c r="D1797"/>
      <c r="E1797"/>
      <c r="F1797"/>
      <c r="G1797"/>
      <c r="H1797"/>
      <c r="I1797"/>
      <c r="J1797" s="3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  <c r="X1797" s="2"/>
      <c r="Y1797" s="2"/>
      <c r="Z1797" s="2"/>
      <c r="AA1797" s="2"/>
    </row>
    <row r="1798" spans="1:27" s="1" customFormat="1">
      <c r="A1798"/>
      <c r="B1798"/>
      <c r="C1798"/>
      <c r="D1798"/>
      <c r="E1798"/>
      <c r="F1798"/>
      <c r="G1798"/>
      <c r="H1798"/>
      <c r="I1798"/>
      <c r="J1798" s="3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  <c r="X1798" s="2"/>
      <c r="Y1798" s="2"/>
      <c r="Z1798" s="2"/>
      <c r="AA1798" s="2"/>
    </row>
    <row r="1799" spans="1:27" s="1" customFormat="1">
      <c r="A1799"/>
      <c r="B1799"/>
      <c r="C1799"/>
      <c r="D1799"/>
      <c r="E1799"/>
      <c r="F1799"/>
      <c r="G1799"/>
      <c r="H1799"/>
      <c r="I1799"/>
      <c r="J1799" s="3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  <c r="X1799" s="2"/>
      <c r="Y1799" s="2"/>
      <c r="Z1799" s="2"/>
      <c r="AA1799" s="2"/>
    </row>
    <row r="1800" spans="1:27" s="1" customFormat="1">
      <c r="A1800"/>
      <c r="B1800"/>
      <c r="C1800"/>
      <c r="D1800"/>
      <c r="E1800"/>
      <c r="F1800"/>
      <c r="G1800"/>
      <c r="H1800"/>
      <c r="I1800"/>
      <c r="J1800" s="3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  <c r="X1800" s="2"/>
      <c r="Y1800" s="2"/>
      <c r="Z1800" s="2"/>
      <c r="AA1800" s="2"/>
    </row>
    <row r="1801" spans="1:27" s="1" customFormat="1">
      <c r="A1801"/>
      <c r="B1801"/>
      <c r="C1801"/>
      <c r="D1801"/>
      <c r="E1801"/>
      <c r="F1801"/>
      <c r="G1801"/>
      <c r="H1801"/>
      <c r="I1801"/>
      <c r="J1801" s="3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  <c r="X1801" s="2"/>
      <c r="Y1801" s="2"/>
      <c r="Z1801" s="2"/>
      <c r="AA1801" s="2"/>
    </row>
    <row r="1802" spans="1:27" s="1" customFormat="1">
      <c r="A1802"/>
      <c r="B1802"/>
      <c r="C1802"/>
      <c r="D1802"/>
      <c r="E1802"/>
      <c r="F1802"/>
      <c r="G1802"/>
      <c r="H1802"/>
      <c r="I1802"/>
      <c r="J1802" s="3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  <c r="X1802" s="2"/>
      <c r="Y1802" s="2"/>
      <c r="Z1802" s="2"/>
      <c r="AA1802" s="2"/>
    </row>
    <row r="1803" spans="1:27" s="1" customFormat="1">
      <c r="A1803"/>
      <c r="B1803"/>
      <c r="C1803"/>
      <c r="D1803"/>
      <c r="E1803"/>
      <c r="F1803"/>
      <c r="G1803"/>
      <c r="H1803"/>
      <c r="I1803"/>
      <c r="J1803" s="3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  <c r="X1803" s="2"/>
      <c r="Y1803" s="2"/>
      <c r="Z1803" s="2"/>
      <c r="AA1803" s="2"/>
    </row>
    <row r="1804" spans="1:27" s="1" customFormat="1">
      <c r="A1804"/>
      <c r="B1804"/>
      <c r="C1804"/>
      <c r="D1804"/>
      <c r="E1804"/>
      <c r="F1804"/>
      <c r="G1804"/>
      <c r="H1804"/>
      <c r="I1804"/>
      <c r="J1804" s="3"/>
      <c r="K1804" s="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2"/>
      <c r="W1804" s="12"/>
      <c r="X1804" s="2"/>
      <c r="Y1804" s="2"/>
      <c r="Z1804" s="2"/>
      <c r="AA1804" s="2"/>
    </row>
    <row r="1805" spans="1:27" s="1" customFormat="1">
      <c r="A1805"/>
      <c r="B1805"/>
      <c r="C1805"/>
      <c r="D1805"/>
      <c r="E1805"/>
      <c r="F1805"/>
      <c r="G1805"/>
      <c r="H1805"/>
      <c r="I1805"/>
      <c r="J1805" s="3"/>
      <c r="K1805" s="2"/>
      <c r="L1805" s="14"/>
      <c r="M1805" s="14"/>
      <c r="N1805" s="14"/>
      <c r="O1805" s="12"/>
      <c r="P1805" s="12"/>
      <c r="Q1805" s="12"/>
      <c r="R1805" s="14"/>
      <c r="S1805" s="14"/>
      <c r="T1805" s="12"/>
      <c r="U1805" s="2"/>
      <c r="V1805" s="12"/>
      <c r="W1805" s="2"/>
      <c r="X1805" s="2"/>
      <c r="Y1805" s="2"/>
      <c r="Z1805" s="2"/>
      <c r="AA1805" s="2"/>
    </row>
    <row r="1806" spans="1:27" s="1" customFormat="1">
      <c r="A1806"/>
      <c r="B1806"/>
      <c r="C1806"/>
      <c r="D1806"/>
      <c r="E1806"/>
      <c r="F1806"/>
      <c r="G1806"/>
      <c r="H1806"/>
      <c r="I1806"/>
      <c r="J1806" s="3"/>
      <c r="K1806" s="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3"/>
      <c r="V1806" s="13"/>
      <c r="W1806" s="12"/>
      <c r="X1806" s="2"/>
      <c r="Y1806" s="2"/>
      <c r="Z1806" s="2"/>
      <c r="AA1806" s="2"/>
    </row>
    <row r="1807" spans="1:27" s="1" customFormat="1">
      <c r="A1807"/>
      <c r="B1807"/>
      <c r="C1807"/>
      <c r="D1807"/>
      <c r="E1807"/>
      <c r="F1807"/>
      <c r="G1807"/>
      <c r="H1807"/>
      <c r="I1807"/>
      <c r="J1807" s="3"/>
      <c r="K1807" s="2"/>
      <c r="L1807" s="10"/>
      <c r="M1807" s="10"/>
      <c r="N1807" s="9"/>
      <c r="O1807" s="6"/>
      <c r="P1807" s="8"/>
      <c r="Q1807" s="6"/>
      <c r="R1807" s="8"/>
      <c r="S1807" s="6"/>
      <c r="T1807" s="8"/>
      <c r="U1807" s="7"/>
      <c r="V1807" s="7"/>
      <c r="W1807" s="6"/>
      <c r="X1807" s="2"/>
      <c r="Y1807" s="2"/>
      <c r="Z1807" s="2"/>
      <c r="AA1807" s="2"/>
    </row>
    <row r="1808" spans="1:27" s="1" customFormat="1">
      <c r="A1808"/>
      <c r="B1808"/>
      <c r="C1808"/>
      <c r="D1808"/>
      <c r="E1808"/>
      <c r="F1808"/>
      <c r="G1808"/>
      <c r="H1808"/>
      <c r="I1808"/>
      <c r="J1808" s="3"/>
      <c r="K1808" s="11"/>
      <c r="L1808" s="10"/>
      <c r="M1808" s="10"/>
      <c r="N1808" s="9"/>
      <c r="O1808" s="6"/>
      <c r="P1808" s="8"/>
      <c r="Q1808" s="6"/>
      <c r="R1808" s="8"/>
      <c r="S1808" s="6"/>
      <c r="T1808" s="8"/>
      <c r="U1808" s="7"/>
      <c r="V1808" s="7"/>
      <c r="W1808" s="6"/>
      <c r="X1808" s="2"/>
      <c r="Y1808" s="2"/>
      <c r="Z1808" s="2"/>
      <c r="AA1808" s="2"/>
    </row>
    <row r="1809" spans="1:27" s="1" customFormat="1">
      <c r="A1809"/>
      <c r="B1809"/>
      <c r="C1809"/>
      <c r="D1809"/>
      <c r="E1809"/>
      <c r="F1809"/>
      <c r="G1809"/>
      <c r="H1809"/>
      <c r="I1809"/>
      <c r="J1809" s="3"/>
      <c r="K1809" s="2"/>
      <c r="L1809" s="10"/>
      <c r="M1809" s="10"/>
      <c r="N1809" s="9"/>
      <c r="O1809" s="6"/>
      <c r="P1809" s="8"/>
      <c r="Q1809" s="6"/>
      <c r="R1809" s="8"/>
      <c r="S1809" s="6"/>
      <c r="T1809" s="8"/>
      <c r="U1809" s="7"/>
      <c r="V1809" s="7"/>
      <c r="W1809" s="6"/>
      <c r="X1809" s="2"/>
      <c r="Y1809" s="2"/>
      <c r="Z1809" s="2"/>
      <c r="AA1809" s="2"/>
    </row>
    <row r="1810" spans="1:27" s="1" customFormat="1">
      <c r="A1810"/>
      <c r="B1810"/>
      <c r="C1810"/>
      <c r="D1810"/>
      <c r="E1810"/>
      <c r="F1810"/>
      <c r="G1810"/>
      <c r="H1810"/>
      <c r="I1810"/>
      <c r="J1810" s="3"/>
      <c r="K1810" s="2"/>
      <c r="L1810" s="10"/>
      <c r="M1810" s="10"/>
      <c r="N1810" s="9"/>
      <c r="O1810" s="6"/>
      <c r="P1810" s="8"/>
      <c r="Q1810" s="6"/>
      <c r="R1810" s="8"/>
      <c r="S1810" s="6"/>
      <c r="T1810" s="8"/>
      <c r="U1810" s="7"/>
      <c r="V1810" s="7"/>
      <c r="W1810" s="6"/>
      <c r="X1810" s="2"/>
      <c r="Y1810" s="2"/>
      <c r="Z1810" s="2"/>
      <c r="AA1810" s="2"/>
    </row>
    <row r="1811" spans="1:27" s="1" customFormat="1">
      <c r="A1811"/>
      <c r="B1811"/>
      <c r="C1811"/>
      <c r="D1811"/>
      <c r="E1811"/>
      <c r="F1811"/>
      <c r="G1811"/>
      <c r="H1811"/>
      <c r="I1811"/>
      <c r="J1811" s="3"/>
      <c r="K1811" s="2"/>
      <c r="L1811" s="2"/>
      <c r="M1811" s="2"/>
      <c r="N1811" s="2"/>
      <c r="O1811" s="6"/>
      <c r="P1811" s="8"/>
      <c r="Q1811" s="6"/>
      <c r="R1811" s="8"/>
      <c r="S1811" s="6"/>
      <c r="T1811" s="8"/>
      <c r="U1811" s="7"/>
      <c r="V1811" s="7"/>
      <c r="W1811" s="6"/>
      <c r="X1811" s="2"/>
      <c r="Y1811" s="2"/>
      <c r="Z1811" s="2"/>
      <c r="AA1811" s="2"/>
    </row>
    <row r="1812" spans="1:27" s="1" customFormat="1">
      <c r="A1812"/>
      <c r="B1812"/>
      <c r="C1812"/>
      <c r="D1812"/>
      <c r="E1812"/>
      <c r="F1812"/>
      <c r="G1812"/>
      <c r="H1812"/>
      <c r="I1812"/>
      <c r="J1812" s="3"/>
      <c r="K1812" s="2"/>
      <c r="L1812" s="2"/>
      <c r="M1812" s="2"/>
      <c r="N1812" s="2"/>
      <c r="O1812" s="5"/>
      <c r="P1812" s="4"/>
      <c r="Q1812" s="2"/>
      <c r="R1812" s="2"/>
      <c r="S1812" s="2"/>
      <c r="T1812" s="2"/>
      <c r="U1812" s="2"/>
      <c r="V1812" s="2"/>
      <c r="W1812" s="2"/>
      <c r="X1812" s="2"/>
      <c r="Y1812" s="2"/>
      <c r="Z1812" s="2"/>
      <c r="AA1812" s="2"/>
    </row>
    <row r="1813" spans="1:27" s="1" customFormat="1">
      <c r="A1813"/>
      <c r="B1813"/>
      <c r="C1813"/>
      <c r="D1813"/>
      <c r="E1813"/>
      <c r="F1813"/>
      <c r="G1813"/>
      <c r="H1813"/>
      <c r="I1813"/>
      <c r="J1813" s="3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  <c r="X1813" s="2"/>
      <c r="Y1813" s="2"/>
      <c r="Z1813" s="2"/>
      <c r="AA1813" s="2"/>
    </row>
    <row r="1814" spans="1:27" s="1" customFormat="1">
      <c r="A1814"/>
      <c r="B1814"/>
      <c r="C1814"/>
      <c r="D1814"/>
      <c r="E1814"/>
      <c r="F1814"/>
      <c r="G1814"/>
      <c r="H1814"/>
      <c r="I1814"/>
      <c r="J1814" s="3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  <c r="X1814" s="2"/>
      <c r="Y1814" s="2"/>
      <c r="Z1814" s="2"/>
      <c r="AA1814" s="2"/>
    </row>
    <row r="1815" spans="1:27" s="1" customFormat="1">
      <c r="A1815"/>
      <c r="B1815"/>
      <c r="C1815"/>
      <c r="D1815"/>
      <c r="E1815"/>
      <c r="F1815"/>
      <c r="G1815"/>
      <c r="H1815"/>
      <c r="I1815"/>
      <c r="J1815" s="3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  <c r="X1815" s="2"/>
      <c r="Y1815" s="2"/>
      <c r="Z1815" s="2"/>
      <c r="AA1815" s="2"/>
    </row>
    <row r="1816" spans="1:27" s="1" customFormat="1">
      <c r="A1816"/>
      <c r="B1816"/>
      <c r="C1816"/>
      <c r="D1816"/>
      <c r="E1816"/>
      <c r="F1816"/>
      <c r="G1816"/>
      <c r="H1816"/>
      <c r="I1816"/>
      <c r="J1816" s="3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  <c r="X1816" s="2"/>
      <c r="Y1816" s="2"/>
      <c r="Z1816" s="2"/>
      <c r="AA1816" s="2"/>
    </row>
    <row r="1817" spans="1:27" s="1" customFormat="1">
      <c r="A1817"/>
      <c r="B1817"/>
      <c r="C1817"/>
      <c r="D1817"/>
      <c r="E1817"/>
      <c r="F1817"/>
      <c r="G1817"/>
      <c r="H1817"/>
      <c r="I1817"/>
      <c r="J1817" s="3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  <c r="X1817" s="2"/>
      <c r="Y1817" s="2"/>
      <c r="Z1817" s="2"/>
      <c r="AA1817" s="2"/>
    </row>
    <row r="1818" spans="1:27" s="1" customFormat="1">
      <c r="A1818"/>
      <c r="B1818"/>
      <c r="C1818"/>
      <c r="D1818"/>
      <c r="E1818"/>
      <c r="F1818"/>
      <c r="G1818"/>
      <c r="H1818"/>
      <c r="I1818"/>
      <c r="J1818" s="3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  <c r="X1818" s="2"/>
      <c r="Y1818" s="2"/>
      <c r="Z1818" s="2"/>
      <c r="AA1818" s="2"/>
    </row>
    <row r="1819" spans="1:27" s="1" customFormat="1">
      <c r="A1819"/>
      <c r="B1819"/>
      <c r="C1819"/>
      <c r="D1819"/>
      <c r="E1819"/>
      <c r="F1819"/>
      <c r="G1819"/>
      <c r="H1819"/>
      <c r="I1819"/>
      <c r="J1819" s="3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  <c r="X1819" s="2"/>
      <c r="Y1819" s="2"/>
      <c r="Z1819" s="2"/>
      <c r="AA1819" s="2"/>
    </row>
    <row r="1820" spans="1:27" s="1" customFormat="1">
      <c r="A1820"/>
      <c r="B1820"/>
      <c r="C1820"/>
      <c r="D1820"/>
      <c r="E1820"/>
      <c r="F1820"/>
      <c r="G1820"/>
      <c r="H1820"/>
      <c r="I1820"/>
      <c r="J1820" s="3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  <c r="X1820" s="2"/>
      <c r="Y1820" s="2"/>
      <c r="Z1820" s="2"/>
      <c r="AA1820" s="2"/>
    </row>
    <row r="1821" spans="1:27" s="1" customFormat="1">
      <c r="A1821"/>
      <c r="B1821"/>
      <c r="C1821"/>
      <c r="D1821"/>
      <c r="E1821"/>
      <c r="F1821"/>
      <c r="G1821"/>
      <c r="H1821"/>
      <c r="I1821"/>
      <c r="J1821" s="3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  <c r="X1821" s="2"/>
      <c r="Y1821" s="2"/>
      <c r="Z1821" s="2"/>
      <c r="AA1821" s="2"/>
    </row>
    <row r="1822" spans="1:27" s="1" customFormat="1">
      <c r="A1822"/>
      <c r="B1822"/>
      <c r="C1822"/>
      <c r="D1822"/>
      <c r="E1822"/>
      <c r="F1822"/>
      <c r="G1822"/>
      <c r="H1822"/>
      <c r="I1822"/>
      <c r="J1822" s="3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  <c r="X1822" s="2"/>
      <c r="Y1822" s="2"/>
      <c r="Z1822" s="2"/>
      <c r="AA1822" s="2"/>
    </row>
    <row r="1823" spans="1:27" s="1" customFormat="1">
      <c r="A1823"/>
      <c r="B1823"/>
      <c r="C1823"/>
      <c r="D1823"/>
      <c r="E1823"/>
      <c r="F1823"/>
      <c r="G1823"/>
      <c r="H1823"/>
      <c r="I1823"/>
      <c r="J1823" s="3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  <c r="X1823" s="2"/>
      <c r="Y1823" s="2"/>
      <c r="Z1823" s="2"/>
      <c r="AA1823" s="2"/>
    </row>
    <row r="1824" spans="1:27" s="1" customFormat="1">
      <c r="A1824"/>
      <c r="B1824"/>
      <c r="C1824"/>
      <c r="D1824"/>
      <c r="E1824"/>
      <c r="F1824"/>
      <c r="G1824"/>
      <c r="H1824"/>
      <c r="I1824"/>
      <c r="J1824" s="3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  <c r="X1824" s="2"/>
      <c r="Y1824" s="2"/>
      <c r="Z1824" s="2"/>
      <c r="AA1824" s="2"/>
    </row>
    <row r="1825" spans="1:27" s="1" customFormat="1">
      <c r="A1825"/>
      <c r="B1825"/>
      <c r="C1825"/>
      <c r="D1825"/>
      <c r="E1825"/>
      <c r="F1825"/>
      <c r="G1825"/>
      <c r="H1825"/>
      <c r="I1825"/>
      <c r="J1825" s="3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  <c r="X1825" s="2"/>
      <c r="Y1825" s="2"/>
      <c r="Z1825" s="2"/>
      <c r="AA1825" s="2"/>
    </row>
    <row r="1826" spans="1:27" s="1" customFormat="1">
      <c r="A1826"/>
      <c r="B1826"/>
      <c r="C1826"/>
      <c r="D1826"/>
      <c r="E1826"/>
      <c r="F1826"/>
      <c r="G1826"/>
      <c r="H1826"/>
      <c r="I1826"/>
      <c r="J1826" s="3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  <c r="X1826" s="2"/>
      <c r="Y1826" s="2"/>
      <c r="Z1826" s="2"/>
      <c r="AA1826" s="2"/>
    </row>
    <row r="1827" spans="1:27" s="1" customFormat="1">
      <c r="A1827"/>
      <c r="B1827"/>
      <c r="C1827"/>
      <c r="D1827"/>
      <c r="E1827"/>
      <c r="F1827"/>
      <c r="G1827"/>
      <c r="H1827"/>
      <c r="I1827"/>
      <c r="J1827" s="3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  <c r="X1827" s="2"/>
      <c r="Y1827" s="2"/>
      <c r="Z1827" s="2"/>
      <c r="AA1827" s="2"/>
    </row>
    <row r="1828" spans="1:27" s="1" customFormat="1">
      <c r="A1828"/>
      <c r="B1828"/>
      <c r="C1828"/>
      <c r="D1828"/>
      <c r="E1828"/>
      <c r="F1828"/>
      <c r="G1828"/>
      <c r="H1828"/>
      <c r="I1828"/>
      <c r="J1828" s="3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  <c r="X1828" s="2"/>
      <c r="Y1828" s="2"/>
      <c r="Z1828" s="2"/>
      <c r="AA1828" s="2"/>
    </row>
    <row r="1829" spans="1:27" s="1" customFormat="1">
      <c r="A1829"/>
      <c r="B1829"/>
      <c r="C1829"/>
      <c r="D1829"/>
      <c r="E1829"/>
      <c r="F1829"/>
      <c r="G1829"/>
      <c r="H1829"/>
      <c r="I1829"/>
      <c r="J1829" s="3"/>
      <c r="K1829" s="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2"/>
      <c r="W1829" s="12"/>
      <c r="X1829" s="2"/>
      <c r="Y1829" s="2"/>
      <c r="Z1829" s="2"/>
      <c r="AA1829" s="2"/>
    </row>
    <row r="1830" spans="1:27" s="1" customFormat="1">
      <c r="A1830"/>
      <c r="B1830"/>
      <c r="C1830"/>
      <c r="D1830"/>
      <c r="E1830"/>
      <c r="F1830"/>
      <c r="G1830"/>
      <c r="H1830"/>
      <c r="I1830"/>
      <c r="J1830" s="3"/>
      <c r="K1830" s="2"/>
      <c r="L1830" s="14"/>
      <c r="M1830" s="14"/>
      <c r="N1830" s="14"/>
      <c r="O1830" s="12"/>
      <c r="P1830" s="12"/>
      <c r="Q1830" s="12"/>
      <c r="R1830" s="14"/>
      <c r="S1830" s="14"/>
      <c r="T1830" s="12"/>
      <c r="U1830" s="2"/>
      <c r="V1830" s="12"/>
      <c r="W1830" s="2"/>
      <c r="X1830" s="2"/>
      <c r="Y1830" s="2"/>
      <c r="Z1830" s="2"/>
      <c r="AA1830" s="2"/>
    </row>
    <row r="1831" spans="1:27" s="1" customFormat="1">
      <c r="A1831"/>
      <c r="B1831"/>
      <c r="C1831"/>
      <c r="D1831"/>
      <c r="E1831"/>
      <c r="F1831"/>
      <c r="G1831"/>
      <c r="H1831"/>
      <c r="I1831"/>
      <c r="J1831" s="3"/>
      <c r="K1831" s="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3"/>
      <c r="V1831" s="13"/>
      <c r="W1831" s="12"/>
      <c r="X1831" s="2"/>
      <c r="Y1831" s="2"/>
      <c r="Z1831" s="2"/>
      <c r="AA1831" s="2"/>
    </row>
    <row r="1832" spans="1:27" s="1" customFormat="1">
      <c r="A1832"/>
      <c r="B1832"/>
      <c r="C1832"/>
      <c r="D1832"/>
      <c r="E1832"/>
      <c r="F1832"/>
      <c r="G1832"/>
      <c r="H1832"/>
      <c r="I1832"/>
      <c r="J1832" s="3"/>
      <c r="K1832" s="2"/>
      <c r="L1832" s="10"/>
      <c r="M1832" s="10"/>
      <c r="N1832" s="9"/>
      <c r="O1832" s="6"/>
      <c r="P1832" s="8"/>
      <c r="Q1832" s="6"/>
      <c r="R1832" s="8"/>
      <c r="S1832" s="6"/>
      <c r="T1832" s="8"/>
      <c r="U1832" s="7"/>
      <c r="V1832" s="7"/>
      <c r="W1832" s="6"/>
      <c r="X1832" s="2"/>
      <c r="Y1832" s="2"/>
      <c r="Z1832" s="2"/>
      <c r="AA1832" s="2"/>
    </row>
    <row r="1833" spans="1:27" s="1" customFormat="1">
      <c r="A1833"/>
      <c r="B1833"/>
      <c r="C1833"/>
      <c r="D1833"/>
      <c r="E1833"/>
      <c r="F1833"/>
      <c r="G1833"/>
      <c r="H1833"/>
      <c r="I1833"/>
      <c r="J1833" s="3"/>
      <c r="K1833" s="11"/>
      <c r="L1833" s="10"/>
      <c r="M1833" s="10"/>
      <c r="N1833" s="9"/>
      <c r="O1833" s="6"/>
      <c r="P1833" s="8"/>
      <c r="Q1833" s="6"/>
      <c r="R1833" s="8"/>
      <c r="S1833" s="6"/>
      <c r="T1833" s="8"/>
      <c r="U1833" s="7"/>
      <c r="V1833" s="7"/>
      <c r="W1833" s="6"/>
      <c r="X1833" s="2"/>
      <c r="Y1833" s="2"/>
      <c r="Z1833" s="2"/>
      <c r="AA1833" s="2"/>
    </row>
    <row r="1834" spans="1:27" s="1" customFormat="1">
      <c r="A1834"/>
      <c r="B1834"/>
      <c r="C1834"/>
      <c r="D1834"/>
      <c r="E1834"/>
      <c r="F1834"/>
      <c r="G1834"/>
      <c r="H1834"/>
      <c r="I1834"/>
      <c r="J1834" s="3"/>
      <c r="K1834" s="2"/>
      <c r="L1834" s="10"/>
      <c r="M1834" s="10"/>
      <c r="N1834" s="9"/>
      <c r="O1834" s="6"/>
      <c r="P1834" s="8"/>
      <c r="Q1834" s="6"/>
      <c r="R1834" s="8"/>
      <c r="S1834" s="6"/>
      <c r="T1834" s="8"/>
      <c r="U1834" s="7"/>
      <c r="V1834" s="7"/>
      <c r="W1834" s="6"/>
      <c r="X1834" s="2"/>
      <c r="Y1834" s="2"/>
      <c r="Z1834" s="2"/>
      <c r="AA1834" s="2"/>
    </row>
    <row r="1835" spans="1:27" s="1" customFormat="1">
      <c r="A1835"/>
      <c r="B1835"/>
      <c r="C1835"/>
      <c r="D1835"/>
      <c r="E1835"/>
      <c r="F1835"/>
      <c r="G1835"/>
      <c r="H1835"/>
      <c r="I1835"/>
      <c r="J1835" s="3"/>
      <c r="K1835" s="2"/>
      <c r="L1835" s="10"/>
      <c r="M1835" s="10"/>
      <c r="N1835" s="9"/>
      <c r="O1835" s="6"/>
      <c r="P1835" s="8"/>
      <c r="Q1835" s="6"/>
      <c r="R1835" s="8"/>
      <c r="S1835" s="6"/>
      <c r="T1835" s="8"/>
      <c r="U1835" s="7"/>
      <c r="V1835" s="7"/>
      <c r="W1835" s="6"/>
      <c r="X1835" s="2"/>
      <c r="Y1835" s="2"/>
      <c r="Z1835" s="2"/>
      <c r="AA1835" s="2"/>
    </row>
    <row r="1836" spans="1:27" s="1" customFormat="1">
      <c r="A1836"/>
      <c r="B1836"/>
      <c r="C1836"/>
      <c r="D1836"/>
      <c r="E1836"/>
      <c r="F1836"/>
      <c r="G1836"/>
      <c r="H1836"/>
      <c r="I1836"/>
      <c r="J1836" s="3"/>
      <c r="K1836" s="2"/>
      <c r="L1836" s="2"/>
      <c r="M1836" s="2"/>
      <c r="N1836" s="2"/>
      <c r="O1836" s="6"/>
      <c r="P1836" s="8"/>
      <c r="Q1836" s="6"/>
      <c r="R1836" s="8"/>
      <c r="S1836" s="6"/>
      <c r="T1836" s="8"/>
      <c r="U1836" s="7"/>
      <c r="V1836" s="7"/>
      <c r="W1836" s="6"/>
      <c r="X1836" s="2"/>
      <c r="Y1836" s="2"/>
      <c r="Z1836" s="2"/>
      <c r="AA1836" s="2"/>
    </row>
    <row r="1837" spans="1:27" s="1" customFormat="1">
      <c r="A1837"/>
      <c r="B1837"/>
      <c r="C1837"/>
      <c r="D1837"/>
      <c r="E1837"/>
      <c r="F1837"/>
      <c r="G1837"/>
      <c r="H1837"/>
      <c r="I1837"/>
      <c r="J1837" s="3"/>
      <c r="K1837" s="2"/>
      <c r="L1837" s="2"/>
      <c r="M1837" s="2"/>
      <c r="N1837" s="2"/>
      <c r="O1837" s="5"/>
      <c r="P1837" s="4"/>
      <c r="Q1837" s="2"/>
      <c r="R1837" s="2"/>
      <c r="S1837" s="2"/>
      <c r="T1837" s="2"/>
      <c r="U1837" s="2"/>
      <c r="V1837" s="2"/>
      <c r="W1837" s="2"/>
      <c r="X1837" s="2"/>
      <c r="Y1837" s="2"/>
      <c r="Z1837" s="2"/>
      <c r="AA1837" s="2"/>
    </row>
    <row r="1838" spans="1:27" s="1" customFormat="1">
      <c r="A1838"/>
      <c r="B1838"/>
      <c r="C1838"/>
      <c r="D1838"/>
      <c r="E1838"/>
      <c r="F1838"/>
      <c r="G1838"/>
      <c r="H1838"/>
      <c r="I1838"/>
      <c r="J1838" s="3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  <c r="X1838" s="2"/>
      <c r="Y1838" s="2"/>
      <c r="Z1838" s="2"/>
      <c r="AA1838" s="2"/>
    </row>
    <row r="1839" spans="1:27" s="1" customFormat="1">
      <c r="A1839"/>
      <c r="B1839"/>
      <c r="C1839"/>
      <c r="D1839"/>
      <c r="E1839"/>
      <c r="F1839"/>
      <c r="G1839"/>
      <c r="H1839"/>
      <c r="I1839"/>
      <c r="J1839" s="3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  <c r="X1839" s="2"/>
      <c r="Y1839" s="2"/>
      <c r="Z1839" s="2"/>
      <c r="AA1839" s="2"/>
    </row>
    <row r="1840" spans="1:27" s="1" customFormat="1">
      <c r="A1840"/>
      <c r="B1840"/>
      <c r="C1840"/>
      <c r="D1840"/>
      <c r="E1840"/>
      <c r="F1840"/>
      <c r="G1840"/>
      <c r="H1840"/>
      <c r="I1840"/>
      <c r="J1840" s="3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  <c r="X1840" s="2"/>
      <c r="Y1840" s="2"/>
      <c r="Z1840" s="2"/>
      <c r="AA1840" s="2"/>
    </row>
    <row r="1841" spans="1:27" s="1" customFormat="1">
      <c r="A1841"/>
      <c r="B1841"/>
      <c r="C1841"/>
      <c r="D1841"/>
      <c r="E1841"/>
      <c r="F1841"/>
      <c r="G1841"/>
      <c r="H1841"/>
      <c r="I1841"/>
      <c r="J1841" s="3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  <c r="X1841" s="2"/>
      <c r="Y1841" s="2"/>
      <c r="Z1841" s="2"/>
      <c r="AA1841" s="2"/>
    </row>
    <row r="1842" spans="1:27" s="1" customFormat="1">
      <c r="A1842"/>
      <c r="B1842"/>
      <c r="C1842"/>
      <c r="D1842"/>
      <c r="E1842"/>
      <c r="F1842"/>
      <c r="G1842"/>
      <c r="H1842"/>
      <c r="I1842"/>
      <c r="J1842" s="3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  <c r="X1842" s="2"/>
      <c r="Y1842" s="2"/>
      <c r="Z1842" s="2"/>
      <c r="AA1842" s="2"/>
    </row>
    <row r="1843" spans="1:27" s="1" customFormat="1">
      <c r="A1843"/>
      <c r="B1843"/>
      <c r="C1843"/>
      <c r="D1843"/>
      <c r="E1843"/>
      <c r="F1843"/>
      <c r="G1843"/>
      <c r="H1843"/>
      <c r="I1843"/>
      <c r="J1843" s="3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  <c r="X1843" s="2"/>
      <c r="Y1843" s="2"/>
      <c r="Z1843" s="2"/>
      <c r="AA1843" s="2"/>
    </row>
    <row r="1844" spans="1:27" s="1" customFormat="1">
      <c r="A1844"/>
      <c r="B1844"/>
      <c r="C1844"/>
      <c r="D1844"/>
      <c r="E1844"/>
      <c r="F1844"/>
      <c r="G1844"/>
      <c r="H1844"/>
      <c r="I1844"/>
      <c r="J1844" s="3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  <c r="X1844" s="2"/>
      <c r="Y1844" s="2"/>
      <c r="Z1844" s="2"/>
      <c r="AA1844" s="2"/>
    </row>
    <row r="1845" spans="1:27" s="1" customFormat="1">
      <c r="A1845"/>
      <c r="B1845"/>
      <c r="C1845"/>
      <c r="D1845"/>
      <c r="E1845"/>
      <c r="F1845"/>
      <c r="G1845"/>
      <c r="H1845"/>
      <c r="I1845"/>
      <c r="J1845" s="3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  <c r="X1845" s="2"/>
      <c r="Y1845" s="2"/>
      <c r="Z1845" s="2"/>
      <c r="AA1845" s="2"/>
    </row>
    <row r="1846" spans="1:27" s="1" customFormat="1">
      <c r="A1846"/>
      <c r="B1846"/>
      <c r="C1846"/>
      <c r="D1846"/>
      <c r="E1846"/>
      <c r="F1846"/>
      <c r="G1846"/>
      <c r="H1846"/>
      <c r="I1846"/>
      <c r="J1846" s="3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  <c r="X1846" s="2"/>
      <c r="Y1846" s="2"/>
      <c r="Z1846" s="2"/>
      <c r="AA1846" s="2"/>
    </row>
    <row r="1847" spans="1:27" s="1" customFormat="1">
      <c r="A1847"/>
      <c r="B1847"/>
      <c r="C1847"/>
      <c r="D1847"/>
      <c r="E1847"/>
      <c r="F1847"/>
      <c r="G1847"/>
      <c r="H1847"/>
      <c r="I1847"/>
      <c r="J1847" s="3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  <c r="X1847" s="2"/>
      <c r="Y1847" s="2"/>
      <c r="Z1847" s="2"/>
      <c r="AA1847" s="2"/>
    </row>
    <row r="1848" spans="1:27" s="1" customFormat="1">
      <c r="A1848"/>
      <c r="B1848"/>
      <c r="C1848"/>
      <c r="D1848"/>
      <c r="E1848"/>
      <c r="F1848"/>
      <c r="G1848"/>
      <c r="H1848"/>
      <c r="I1848"/>
      <c r="J1848" s="3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  <c r="X1848" s="2"/>
      <c r="Y1848" s="2"/>
      <c r="Z1848" s="2"/>
      <c r="AA1848" s="2"/>
    </row>
    <row r="1849" spans="1:27" s="1" customFormat="1">
      <c r="A1849"/>
      <c r="B1849"/>
      <c r="C1849"/>
      <c r="D1849"/>
      <c r="E1849"/>
      <c r="F1849"/>
      <c r="G1849"/>
      <c r="H1849"/>
      <c r="I1849"/>
      <c r="J1849" s="3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  <c r="X1849" s="2"/>
      <c r="Y1849" s="2"/>
      <c r="Z1849" s="2"/>
      <c r="AA1849" s="2"/>
    </row>
    <row r="1850" spans="1:27" s="1" customFormat="1">
      <c r="A1850"/>
      <c r="B1850"/>
      <c r="C1850"/>
      <c r="D1850"/>
      <c r="E1850"/>
      <c r="F1850"/>
      <c r="G1850"/>
      <c r="H1850"/>
      <c r="I1850"/>
      <c r="J1850" s="3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  <c r="X1850" s="2"/>
      <c r="Y1850" s="2"/>
      <c r="Z1850" s="2"/>
      <c r="AA1850" s="2"/>
    </row>
    <row r="1851" spans="1:27" s="1" customFormat="1">
      <c r="A1851"/>
      <c r="B1851"/>
      <c r="C1851"/>
      <c r="D1851"/>
      <c r="E1851"/>
      <c r="F1851"/>
      <c r="G1851"/>
      <c r="H1851"/>
      <c r="I1851"/>
      <c r="J1851" s="3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  <c r="X1851" s="2"/>
      <c r="Y1851" s="2"/>
      <c r="Z1851" s="2"/>
      <c r="AA1851" s="2"/>
    </row>
    <row r="1852" spans="1:27" s="1" customFormat="1">
      <c r="A1852"/>
      <c r="B1852"/>
      <c r="C1852"/>
      <c r="D1852"/>
      <c r="E1852"/>
      <c r="F1852"/>
      <c r="G1852"/>
      <c r="H1852"/>
      <c r="I1852"/>
      <c r="J1852" s="3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  <c r="X1852" s="2"/>
      <c r="Y1852" s="2"/>
      <c r="Z1852" s="2"/>
      <c r="AA1852" s="2"/>
    </row>
    <row r="1853" spans="1:27" s="1" customFormat="1">
      <c r="A1853"/>
      <c r="B1853"/>
      <c r="C1853"/>
      <c r="D1853"/>
      <c r="E1853"/>
      <c r="F1853"/>
      <c r="G1853"/>
      <c r="H1853"/>
      <c r="I1853"/>
      <c r="J1853" s="3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  <c r="X1853" s="2"/>
      <c r="Y1853" s="2"/>
      <c r="Z1853" s="2"/>
      <c r="AA1853" s="2"/>
    </row>
    <row r="1854" spans="1:27" s="1" customFormat="1">
      <c r="A1854"/>
      <c r="B1854"/>
      <c r="C1854"/>
      <c r="D1854"/>
      <c r="E1854"/>
      <c r="F1854"/>
      <c r="G1854"/>
      <c r="H1854"/>
      <c r="I1854"/>
      <c r="J1854" s="3"/>
      <c r="K1854" s="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2"/>
      <c r="W1854" s="12"/>
      <c r="X1854" s="2"/>
      <c r="Y1854" s="2"/>
      <c r="Z1854" s="2"/>
      <c r="AA1854" s="2"/>
    </row>
    <row r="1855" spans="1:27" s="1" customFormat="1">
      <c r="A1855"/>
      <c r="B1855"/>
      <c r="C1855"/>
      <c r="D1855"/>
      <c r="E1855"/>
      <c r="F1855"/>
      <c r="G1855"/>
      <c r="H1855"/>
      <c r="I1855"/>
      <c r="J1855" s="3"/>
      <c r="K1855" s="2"/>
      <c r="L1855" s="14"/>
      <c r="M1855" s="14"/>
      <c r="N1855" s="14"/>
      <c r="O1855" s="12"/>
      <c r="P1855" s="12"/>
      <c r="Q1855" s="12"/>
      <c r="R1855" s="14"/>
      <c r="S1855" s="14"/>
      <c r="T1855" s="12"/>
      <c r="U1855" s="2"/>
      <c r="V1855" s="12"/>
      <c r="W1855" s="2"/>
      <c r="X1855" s="2"/>
      <c r="Y1855" s="2"/>
      <c r="Z1855" s="2"/>
      <c r="AA1855" s="2"/>
    </row>
    <row r="1856" spans="1:27" s="1" customFormat="1">
      <c r="A1856"/>
      <c r="B1856"/>
      <c r="C1856"/>
      <c r="D1856"/>
      <c r="E1856"/>
      <c r="F1856"/>
      <c r="G1856"/>
      <c r="H1856"/>
      <c r="I1856"/>
      <c r="J1856" s="3"/>
      <c r="K1856" s="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3"/>
      <c r="V1856" s="13"/>
      <c r="W1856" s="12"/>
      <c r="X1856" s="2"/>
      <c r="Y1856" s="2"/>
      <c r="Z1856" s="2"/>
      <c r="AA1856" s="2"/>
    </row>
    <row r="1857" spans="1:27" s="1" customFormat="1">
      <c r="A1857"/>
      <c r="B1857"/>
      <c r="C1857"/>
      <c r="D1857"/>
      <c r="E1857"/>
      <c r="F1857"/>
      <c r="G1857"/>
      <c r="H1857"/>
      <c r="I1857"/>
      <c r="K1857" s="2"/>
      <c r="L1857" s="10"/>
      <c r="M1857" s="10"/>
      <c r="N1857" s="9"/>
      <c r="O1857" s="6"/>
      <c r="P1857" s="8"/>
      <c r="Q1857" s="6"/>
      <c r="R1857" s="8"/>
      <c r="S1857" s="6"/>
      <c r="T1857" s="8"/>
      <c r="U1857" s="7"/>
      <c r="V1857" s="7"/>
      <c r="W1857" s="6"/>
      <c r="X1857" s="2"/>
      <c r="Y1857" s="2"/>
      <c r="Z1857" s="2"/>
      <c r="AA1857" s="2"/>
    </row>
    <row r="1858" spans="1:27" s="1" customFormat="1">
      <c r="A1858"/>
      <c r="B1858"/>
      <c r="C1858"/>
      <c r="D1858"/>
      <c r="E1858"/>
      <c r="F1858"/>
      <c r="G1858"/>
      <c r="H1858"/>
      <c r="I1858"/>
      <c r="K1858" s="11"/>
      <c r="L1858" s="10"/>
      <c r="M1858" s="10"/>
      <c r="N1858" s="9"/>
      <c r="O1858" s="6"/>
      <c r="P1858" s="8"/>
      <c r="Q1858" s="6"/>
      <c r="R1858" s="8"/>
      <c r="S1858" s="6"/>
      <c r="T1858" s="8"/>
      <c r="U1858" s="7"/>
      <c r="V1858" s="7"/>
      <c r="W1858" s="6"/>
      <c r="X1858" s="2"/>
      <c r="Y1858" s="2"/>
      <c r="Z1858" s="2"/>
      <c r="AA1858" s="2"/>
    </row>
    <row r="1859" spans="1:27" s="1" customFormat="1">
      <c r="A1859"/>
      <c r="B1859"/>
      <c r="C1859"/>
      <c r="D1859"/>
      <c r="E1859"/>
      <c r="F1859"/>
      <c r="G1859"/>
      <c r="H1859"/>
      <c r="I1859"/>
      <c r="K1859" s="2"/>
      <c r="L1859" s="10"/>
      <c r="M1859" s="10"/>
      <c r="N1859" s="9"/>
      <c r="O1859" s="6"/>
      <c r="P1859" s="8"/>
      <c r="Q1859" s="6"/>
      <c r="R1859" s="8"/>
      <c r="S1859" s="6"/>
      <c r="T1859" s="8"/>
      <c r="U1859" s="7"/>
      <c r="V1859" s="7"/>
      <c r="W1859" s="6"/>
      <c r="X1859" s="2"/>
      <c r="Y1859" s="2"/>
      <c r="Z1859" s="2"/>
      <c r="AA1859" s="2"/>
    </row>
    <row r="1860" spans="1:27" s="1" customFormat="1">
      <c r="A1860"/>
      <c r="B1860"/>
      <c r="C1860"/>
      <c r="D1860"/>
      <c r="E1860"/>
      <c r="F1860"/>
      <c r="G1860"/>
      <c r="H1860"/>
      <c r="I1860"/>
      <c r="K1860" s="2"/>
      <c r="L1860" s="10"/>
      <c r="M1860" s="10"/>
      <c r="N1860" s="9"/>
      <c r="O1860" s="6"/>
      <c r="P1860" s="8"/>
      <c r="Q1860" s="6"/>
      <c r="R1860" s="8"/>
      <c r="S1860" s="6"/>
      <c r="T1860" s="8"/>
      <c r="U1860" s="7"/>
      <c r="V1860" s="7"/>
      <c r="W1860" s="6"/>
      <c r="X1860" s="2"/>
      <c r="Y1860" s="2"/>
      <c r="Z1860" s="2"/>
      <c r="AA1860" s="2"/>
    </row>
    <row r="1861" spans="1:27" s="1" customFormat="1">
      <c r="A1861"/>
      <c r="B1861"/>
      <c r="C1861"/>
      <c r="D1861"/>
      <c r="E1861"/>
      <c r="F1861"/>
      <c r="G1861"/>
      <c r="H1861"/>
      <c r="I1861"/>
      <c r="K1861" s="2"/>
      <c r="L1861" s="2"/>
      <c r="M1861" s="2"/>
      <c r="N1861" s="2"/>
      <c r="O1861" s="6"/>
      <c r="P1861" s="8"/>
      <c r="Q1861" s="6"/>
      <c r="R1861" s="8"/>
      <c r="S1861" s="6"/>
      <c r="T1861" s="8"/>
      <c r="U1861" s="7"/>
      <c r="V1861" s="7"/>
      <c r="W1861" s="6"/>
      <c r="X1861" s="2"/>
      <c r="Y1861" s="2"/>
      <c r="Z1861" s="2"/>
      <c r="AA1861" s="2"/>
    </row>
    <row r="1862" spans="1:27" s="1" customFormat="1">
      <c r="A1862"/>
      <c r="B1862"/>
      <c r="C1862"/>
      <c r="D1862"/>
      <c r="E1862"/>
      <c r="F1862"/>
      <c r="G1862"/>
      <c r="H1862"/>
      <c r="I1862"/>
      <c r="K1862" s="2"/>
      <c r="L1862" s="2"/>
      <c r="M1862" s="2"/>
      <c r="N1862" s="2"/>
      <c r="O1862" s="5"/>
      <c r="P1862" s="4"/>
      <c r="Q1862" s="2"/>
      <c r="R1862" s="2"/>
      <c r="S1862" s="2"/>
      <c r="T1862" s="2"/>
      <c r="U1862" s="2"/>
      <c r="V1862" s="2"/>
      <c r="W1862" s="2"/>
      <c r="X1862" s="2"/>
      <c r="Y1862" s="2"/>
      <c r="Z1862" s="2"/>
      <c r="AA1862" s="2"/>
    </row>
    <row r="1863" spans="1:27" s="1" customFormat="1">
      <c r="A1863"/>
      <c r="B1863"/>
      <c r="C1863"/>
      <c r="D1863"/>
      <c r="E1863"/>
      <c r="F1863"/>
      <c r="G1863"/>
      <c r="H1863"/>
      <c r="I1863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  <c r="X1863" s="2"/>
      <c r="Y1863" s="2"/>
      <c r="Z1863" s="2"/>
      <c r="AA1863" s="2"/>
    </row>
    <row r="1864" spans="1:27" s="1" customFormat="1">
      <c r="A1864"/>
      <c r="B1864"/>
      <c r="C1864"/>
      <c r="D1864"/>
      <c r="E1864"/>
      <c r="F1864"/>
      <c r="G1864"/>
      <c r="H1864"/>
      <c r="I1864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  <c r="X1864" s="2"/>
      <c r="Y1864" s="2"/>
      <c r="Z1864" s="2"/>
      <c r="AA1864" s="2"/>
    </row>
    <row r="1865" spans="1:27" s="1" customFormat="1">
      <c r="A1865"/>
      <c r="B1865"/>
      <c r="C1865"/>
      <c r="D1865"/>
      <c r="E1865"/>
      <c r="F1865"/>
      <c r="G1865"/>
      <c r="H1865"/>
      <c r="I1865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  <c r="X1865" s="2"/>
      <c r="Y1865" s="2"/>
      <c r="Z1865" s="2"/>
      <c r="AA1865" s="2"/>
    </row>
    <row r="1866" spans="1:27" s="1" customFormat="1">
      <c r="A1866"/>
      <c r="B1866"/>
      <c r="C1866"/>
      <c r="D1866"/>
      <c r="E1866"/>
      <c r="F1866"/>
      <c r="G1866"/>
      <c r="H1866"/>
      <c r="I1866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  <c r="X1866" s="2"/>
      <c r="Y1866" s="2"/>
      <c r="Z1866" s="2"/>
      <c r="AA1866" s="2"/>
    </row>
    <row r="1867" spans="1:27" s="1" customFormat="1">
      <c r="A1867"/>
      <c r="B1867"/>
      <c r="C1867"/>
      <c r="D1867"/>
      <c r="E1867"/>
      <c r="F1867"/>
      <c r="G1867"/>
      <c r="H1867"/>
      <c r="I1867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  <c r="X1867" s="2"/>
      <c r="Y1867" s="2"/>
      <c r="Z1867" s="2"/>
      <c r="AA1867" s="2"/>
    </row>
    <row r="1868" spans="1:27" s="1" customFormat="1">
      <c r="A1868"/>
      <c r="B1868"/>
      <c r="C1868"/>
      <c r="D1868"/>
      <c r="E1868"/>
      <c r="F1868"/>
      <c r="G1868"/>
      <c r="H1868"/>
      <c r="I1868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  <c r="X1868" s="2"/>
      <c r="Y1868" s="2"/>
      <c r="Z1868" s="2"/>
      <c r="AA1868" s="2"/>
    </row>
    <row r="1869" spans="1:27" s="1" customFormat="1">
      <c r="A1869"/>
      <c r="B1869"/>
      <c r="C1869"/>
      <c r="D1869"/>
      <c r="E1869"/>
      <c r="F1869"/>
      <c r="G1869"/>
      <c r="H1869"/>
      <c r="I1869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  <c r="X1869" s="2"/>
      <c r="Y1869" s="2"/>
      <c r="Z1869" s="2"/>
      <c r="AA1869" s="2"/>
    </row>
    <row r="1870" spans="1:27" s="1" customFormat="1">
      <c r="A1870"/>
      <c r="B1870"/>
      <c r="C1870"/>
      <c r="D1870"/>
      <c r="E1870"/>
      <c r="F1870"/>
      <c r="G1870"/>
      <c r="H1870"/>
      <c r="I1870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  <c r="X1870" s="2"/>
      <c r="Y1870" s="2"/>
      <c r="Z1870" s="2"/>
      <c r="AA1870" s="2"/>
    </row>
    <row r="1871" spans="1:27" s="1" customFormat="1">
      <c r="A1871"/>
      <c r="B1871"/>
      <c r="C1871"/>
      <c r="D1871"/>
      <c r="E1871"/>
      <c r="F1871"/>
      <c r="G1871"/>
      <c r="H1871"/>
      <c r="I1871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  <c r="X1871" s="2"/>
      <c r="Y1871" s="2"/>
      <c r="Z1871" s="2"/>
      <c r="AA1871" s="2"/>
    </row>
    <row r="1872" spans="1:27" s="1" customFormat="1">
      <c r="A1872"/>
      <c r="B1872"/>
      <c r="C1872"/>
      <c r="D1872"/>
      <c r="E1872"/>
      <c r="F1872"/>
      <c r="G1872"/>
      <c r="H1872"/>
      <c r="I187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  <c r="X1872" s="2"/>
      <c r="Y1872" s="2"/>
      <c r="Z1872" s="2"/>
      <c r="AA1872" s="2"/>
    </row>
    <row r="1873" spans="1:27" s="1" customFormat="1">
      <c r="A1873"/>
      <c r="B1873"/>
      <c r="C1873"/>
      <c r="D1873"/>
      <c r="E1873"/>
      <c r="F1873"/>
      <c r="G1873"/>
      <c r="H1873"/>
      <c r="I1873"/>
      <c r="J1873" s="3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  <c r="X1873" s="2"/>
      <c r="Y1873" s="2"/>
      <c r="Z1873" s="2"/>
      <c r="AA1873" s="2"/>
    </row>
    <row r="1874" spans="1:27" s="1" customFormat="1">
      <c r="A1874"/>
      <c r="B1874"/>
      <c r="C1874"/>
      <c r="D1874"/>
      <c r="E1874"/>
      <c r="F1874"/>
      <c r="G1874"/>
      <c r="H1874"/>
      <c r="I1874"/>
      <c r="J1874" s="3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  <c r="X1874" s="2"/>
      <c r="Y1874" s="2"/>
      <c r="Z1874" s="2"/>
      <c r="AA1874" s="2"/>
    </row>
    <row r="1875" spans="1:27" s="1" customFormat="1">
      <c r="A1875"/>
      <c r="B1875"/>
      <c r="C1875"/>
      <c r="D1875"/>
      <c r="E1875"/>
      <c r="F1875"/>
      <c r="G1875"/>
      <c r="H1875"/>
      <c r="I1875"/>
      <c r="J1875" s="3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  <c r="X1875" s="2"/>
      <c r="Y1875" s="2"/>
      <c r="Z1875" s="2"/>
      <c r="AA1875" s="2"/>
    </row>
    <row r="1876" spans="1:27" s="1" customFormat="1">
      <c r="A1876"/>
      <c r="B1876"/>
      <c r="C1876"/>
      <c r="D1876"/>
      <c r="E1876"/>
      <c r="F1876"/>
      <c r="G1876"/>
      <c r="H1876"/>
      <c r="I1876"/>
      <c r="J1876" s="3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  <c r="X1876" s="2"/>
      <c r="Y1876" s="2"/>
      <c r="Z1876" s="2"/>
      <c r="AA1876" s="2"/>
    </row>
    <row r="1877" spans="1:27" s="1" customFormat="1">
      <c r="A1877"/>
      <c r="B1877"/>
      <c r="C1877"/>
      <c r="D1877"/>
      <c r="E1877"/>
      <c r="F1877"/>
      <c r="G1877"/>
      <c r="H1877"/>
      <c r="I1877"/>
      <c r="J1877" s="3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  <c r="X1877" s="2"/>
      <c r="Y1877" s="2"/>
      <c r="Z1877" s="2"/>
      <c r="AA1877" s="2"/>
    </row>
    <row r="1878" spans="1:27" s="1" customFormat="1">
      <c r="A1878"/>
      <c r="B1878"/>
      <c r="C1878"/>
      <c r="D1878"/>
      <c r="E1878"/>
      <c r="F1878"/>
      <c r="G1878"/>
      <c r="H1878"/>
      <c r="I1878"/>
      <c r="J1878" s="3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  <c r="X1878" s="2"/>
      <c r="Y1878" s="2"/>
      <c r="Z1878" s="2"/>
      <c r="AA1878" s="2"/>
    </row>
    <row r="1879" spans="1:27" s="1" customFormat="1">
      <c r="A1879"/>
      <c r="B1879"/>
      <c r="C1879"/>
      <c r="D1879"/>
      <c r="E1879"/>
      <c r="F1879"/>
      <c r="G1879"/>
      <c r="H1879"/>
      <c r="I1879"/>
      <c r="J1879" s="3"/>
      <c r="K1879" s="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2"/>
      <c r="W1879" s="12"/>
      <c r="X1879" s="2"/>
      <c r="Y1879" s="2"/>
      <c r="Z1879" s="2"/>
      <c r="AA1879" s="2"/>
    </row>
    <row r="1880" spans="1:27" s="1" customFormat="1">
      <c r="A1880"/>
      <c r="B1880"/>
      <c r="C1880"/>
      <c r="D1880"/>
      <c r="E1880"/>
      <c r="F1880"/>
      <c r="G1880"/>
      <c r="H1880"/>
      <c r="I1880"/>
      <c r="J1880" s="3"/>
      <c r="K1880" s="2"/>
      <c r="L1880" s="14"/>
      <c r="M1880" s="14"/>
      <c r="N1880" s="14"/>
      <c r="O1880" s="12"/>
      <c r="P1880" s="12"/>
      <c r="Q1880" s="12"/>
      <c r="R1880" s="14"/>
      <c r="S1880" s="14"/>
      <c r="T1880" s="12"/>
      <c r="U1880" s="2"/>
      <c r="V1880" s="12"/>
      <c r="W1880" s="2"/>
      <c r="X1880" s="2"/>
      <c r="Y1880" s="2"/>
      <c r="Z1880" s="2"/>
      <c r="AA1880" s="2"/>
    </row>
    <row r="1881" spans="1:27" s="1" customFormat="1">
      <c r="A1881"/>
      <c r="B1881"/>
      <c r="C1881"/>
      <c r="D1881"/>
      <c r="E1881"/>
      <c r="F1881"/>
      <c r="G1881"/>
      <c r="H1881"/>
      <c r="I1881"/>
      <c r="J1881" s="3"/>
      <c r="K1881" s="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3"/>
      <c r="V1881" s="13"/>
      <c r="W1881" s="12"/>
      <c r="X1881" s="2"/>
      <c r="Y1881" s="2"/>
      <c r="Z1881" s="2"/>
      <c r="AA1881" s="2"/>
    </row>
    <row r="1882" spans="1:27" s="1" customFormat="1">
      <c r="A1882"/>
      <c r="B1882"/>
      <c r="C1882"/>
      <c r="D1882"/>
      <c r="E1882"/>
      <c r="F1882"/>
      <c r="G1882"/>
      <c r="H1882"/>
      <c r="I1882"/>
      <c r="J1882" s="3"/>
      <c r="K1882" s="2"/>
      <c r="L1882" s="10"/>
      <c r="M1882" s="10"/>
      <c r="N1882" s="9"/>
      <c r="O1882" s="6"/>
      <c r="P1882" s="8"/>
      <c r="Q1882" s="6"/>
      <c r="R1882" s="8"/>
      <c r="S1882" s="6"/>
      <c r="T1882" s="8"/>
      <c r="U1882" s="7"/>
      <c r="V1882" s="7"/>
      <c r="W1882" s="6"/>
      <c r="X1882" s="2"/>
      <c r="Y1882" s="2"/>
      <c r="Z1882" s="2"/>
      <c r="AA1882" s="2"/>
    </row>
    <row r="1883" spans="1:27" s="1" customFormat="1">
      <c r="A1883"/>
      <c r="B1883"/>
      <c r="C1883"/>
      <c r="D1883"/>
      <c r="E1883"/>
      <c r="F1883"/>
      <c r="G1883"/>
      <c r="H1883"/>
      <c r="I1883"/>
      <c r="J1883" s="3"/>
      <c r="K1883" s="11"/>
      <c r="L1883" s="10"/>
      <c r="M1883" s="10"/>
      <c r="N1883" s="9"/>
      <c r="O1883" s="6"/>
      <c r="P1883" s="8"/>
      <c r="Q1883" s="6"/>
      <c r="R1883" s="8"/>
      <c r="S1883" s="6"/>
      <c r="T1883" s="8"/>
      <c r="U1883" s="7"/>
      <c r="V1883" s="7"/>
      <c r="W1883" s="6"/>
      <c r="X1883" s="2"/>
      <c r="Y1883" s="2"/>
      <c r="Z1883" s="2"/>
      <c r="AA1883" s="2"/>
    </row>
    <row r="1884" spans="1:27" s="1" customFormat="1">
      <c r="A1884"/>
      <c r="B1884"/>
      <c r="C1884"/>
      <c r="D1884"/>
      <c r="E1884"/>
      <c r="F1884"/>
      <c r="G1884"/>
      <c r="H1884"/>
      <c r="I1884"/>
      <c r="J1884" s="3"/>
      <c r="K1884" s="2"/>
      <c r="L1884" s="10"/>
      <c r="M1884" s="10"/>
      <c r="N1884" s="9"/>
      <c r="O1884" s="6"/>
      <c r="P1884" s="8"/>
      <c r="Q1884" s="6"/>
      <c r="R1884" s="8"/>
      <c r="S1884" s="6"/>
      <c r="T1884" s="8"/>
      <c r="U1884" s="7"/>
      <c r="V1884" s="7"/>
      <c r="W1884" s="6"/>
      <c r="X1884" s="2"/>
      <c r="Y1884" s="2"/>
      <c r="Z1884" s="2"/>
      <c r="AA1884" s="2"/>
    </row>
    <row r="1885" spans="1:27" s="1" customFormat="1">
      <c r="A1885"/>
      <c r="B1885"/>
      <c r="C1885"/>
      <c r="D1885"/>
      <c r="E1885"/>
      <c r="F1885"/>
      <c r="G1885"/>
      <c r="H1885"/>
      <c r="I1885"/>
      <c r="J1885" s="3"/>
      <c r="K1885" s="2"/>
      <c r="L1885" s="10"/>
      <c r="M1885" s="10"/>
      <c r="N1885" s="9"/>
      <c r="O1885" s="6"/>
      <c r="P1885" s="8"/>
      <c r="Q1885" s="6"/>
      <c r="R1885" s="8"/>
      <c r="S1885" s="6"/>
      <c r="T1885" s="8"/>
      <c r="U1885" s="7"/>
      <c r="V1885" s="7"/>
      <c r="W1885" s="6"/>
      <c r="X1885" s="2"/>
      <c r="Y1885" s="2"/>
      <c r="Z1885" s="2"/>
      <c r="AA1885" s="2"/>
    </row>
    <row r="1886" spans="1:27" s="1" customFormat="1">
      <c r="A1886"/>
      <c r="B1886"/>
      <c r="C1886"/>
      <c r="D1886"/>
      <c r="E1886"/>
      <c r="F1886"/>
      <c r="G1886"/>
      <c r="H1886"/>
      <c r="I1886"/>
      <c r="J1886" s="3"/>
      <c r="K1886" s="2"/>
      <c r="L1886" s="2"/>
      <c r="M1886" s="2"/>
      <c r="N1886" s="2"/>
      <c r="O1886" s="6"/>
      <c r="P1886" s="8"/>
      <c r="Q1886" s="6"/>
      <c r="R1886" s="8"/>
      <c r="S1886" s="6"/>
      <c r="T1886" s="8"/>
      <c r="U1886" s="7"/>
      <c r="V1886" s="7"/>
      <c r="W1886" s="6"/>
      <c r="X1886" s="2"/>
      <c r="Y1886" s="2"/>
      <c r="Z1886" s="2"/>
      <c r="AA1886" s="2"/>
    </row>
    <row r="1887" spans="1:27" s="1" customFormat="1">
      <c r="A1887"/>
      <c r="B1887"/>
      <c r="C1887"/>
      <c r="D1887"/>
      <c r="E1887"/>
      <c r="F1887"/>
      <c r="G1887"/>
      <c r="H1887"/>
      <c r="I1887"/>
      <c r="J1887" s="3"/>
      <c r="K1887" s="2"/>
      <c r="L1887" s="2"/>
      <c r="M1887" s="2"/>
      <c r="N1887" s="2"/>
      <c r="O1887" s="5"/>
      <c r="P1887" s="4"/>
      <c r="Q1887" s="2"/>
      <c r="R1887" s="2"/>
      <c r="S1887" s="2"/>
      <c r="T1887" s="2"/>
      <c r="U1887" s="2"/>
      <c r="V1887" s="2"/>
      <c r="W1887" s="2"/>
      <c r="X1887" s="2"/>
      <c r="Y1887" s="2"/>
      <c r="Z1887" s="2"/>
      <c r="AA1887" s="2"/>
    </row>
    <row r="1888" spans="1:27" s="1" customFormat="1">
      <c r="A1888"/>
      <c r="B1888"/>
      <c r="C1888"/>
      <c r="D1888"/>
      <c r="E1888"/>
      <c r="F1888"/>
      <c r="G1888"/>
      <c r="H1888"/>
      <c r="I1888"/>
      <c r="J1888" s="3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  <c r="X1888" s="2"/>
      <c r="Y1888" s="2"/>
      <c r="Z1888" s="2"/>
      <c r="AA1888" s="2"/>
    </row>
    <row r="1889" spans="1:27" s="1" customFormat="1">
      <c r="A1889"/>
      <c r="B1889"/>
      <c r="C1889"/>
      <c r="D1889"/>
      <c r="E1889"/>
      <c r="F1889"/>
      <c r="G1889"/>
      <c r="H1889"/>
      <c r="I1889"/>
      <c r="J1889" s="3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  <c r="X1889" s="2"/>
      <c r="Y1889" s="2"/>
      <c r="Z1889" s="2"/>
      <c r="AA1889" s="2"/>
    </row>
    <row r="1890" spans="1:27" s="1" customFormat="1">
      <c r="A1890"/>
      <c r="B1890"/>
      <c r="C1890"/>
      <c r="D1890"/>
      <c r="E1890"/>
      <c r="F1890"/>
      <c r="G1890"/>
      <c r="H1890"/>
      <c r="I1890"/>
      <c r="J1890" s="3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  <c r="X1890" s="2"/>
      <c r="Y1890" s="2"/>
      <c r="Z1890" s="2"/>
      <c r="AA1890" s="2"/>
    </row>
    <row r="1891" spans="1:27" s="1" customFormat="1">
      <c r="A1891"/>
      <c r="B1891"/>
      <c r="C1891"/>
      <c r="D1891"/>
      <c r="E1891"/>
      <c r="F1891"/>
      <c r="G1891"/>
      <c r="H1891"/>
      <c r="I1891"/>
      <c r="J1891" s="3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  <c r="X1891" s="2"/>
      <c r="Y1891" s="2"/>
      <c r="Z1891" s="2"/>
      <c r="AA1891" s="2"/>
    </row>
    <row r="1892" spans="1:27" s="1" customFormat="1">
      <c r="A1892"/>
      <c r="B1892"/>
      <c r="C1892"/>
      <c r="D1892"/>
      <c r="E1892"/>
      <c r="F1892"/>
      <c r="G1892"/>
      <c r="H1892"/>
      <c r="I1892"/>
      <c r="J1892" s="3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  <c r="X1892" s="2"/>
      <c r="Y1892" s="2"/>
      <c r="Z1892" s="2"/>
      <c r="AA1892" s="2"/>
    </row>
    <row r="1893" spans="1:27" s="1" customFormat="1">
      <c r="A1893"/>
      <c r="B1893"/>
      <c r="C1893"/>
      <c r="D1893"/>
      <c r="E1893"/>
      <c r="F1893"/>
      <c r="G1893"/>
      <c r="H1893"/>
      <c r="I1893"/>
      <c r="J1893" s="3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  <c r="X1893" s="2"/>
      <c r="Y1893" s="2"/>
      <c r="Z1893" s="2"/>
      <c r="AA1893" s="2"/>
    </row>
    <row r="1894" spans="1:27" s="1" customFormat="1">
      <c r="A1894"/>
      <c r="B1894"/>
      <c r="C1894"/>
      <c r="D1894"/>
      <c r="E1894"/>
      <c r="F1894"/>
      <c r="G1894"/>
      <c r="H1894"/>
      <c r="I1894"/>
      <c r="J1894" s="3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  <c r="X1894" s="2"/>
      <c r="Y1894" s="2"/>
      <c r="Z1894" s="2"/>
      <c r="AA1894" s="2"/>
    </row>
    <row r="1895" spans="1:27" s="1" customFormat="1">
      <c r="A1895"/>
      <c r="B1895"/>
      <c r="C1895"/>
      <c r="D1895"/>
      <c r="E1895"/>
      <c r="F1895"/>
      <c r="G1895"/>
      <c r="H1895"/>
      <c r="I1895"/>
      <c r="J1895" s="3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  <c r="X1895" s="2"/>
      <c r="Y1895" s="2"/>
      <c r="Z1895" s="2"/>
      <c r="AA1895" s="2"/>
    </row>
    <row r="1896" spans="1:27" s="1" customFormat="1">
      <c r="A1896"/>
      <c r="B1896"/>
      <c r="C1896"/>
      <c r="D1896"/>
      <c r="E1896"/>
      <c r="F1896"/>
      <c r="G1896"/>
      <c r="H1896"/>
      <c r="I1896"/>
      <c r="J1896" s="3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  <c r="X1896" s="2"/>
      <c r="Y1896" s="2"/>
      <c r="Z1896" s="2"/>
      <c r="AA1896" s="2"/>
    </row>
    <row r="1897" spans="1:27" s="1" customFormat="1">
      <c r="A1897"/>
      <c r="B1897"/>
      <c r="C1897"/>
      <c r="D1897"/>
      <c r="E1897"/>
      <c r="F1897"/>
      <c r="G1897"/>
      <c r="H1897"/>
      <c r="I1897"/>
      <c r="J1897" s="3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  <c r="X1897" s="2"/>
      <c r="Y1897" s="2"/>
      <c r="Z1897" s="2"/>
      <c r="AA1897" s="2"/>
    </row>
    <row r="1898" spans="1:27" s="1" customFormat="1">
      <c r="A1898"/>
      <c r="B1898"/>
      <c r="C1898"/>
      <c r="D1898"/>
      <c r="E1898"/>
      <c r="F1898"/>
      <c r="G1898"/>
      <c r="H1898"/>
      <c r="I1898"/>
      <c r="J1898" s="3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  <c r="X1898" s="2"/>
      <c r="Y1898" s="2"/>
      <c r="Z1898" s="2"/>
      <c r="AA1898" s="2"/>
    </row>
    <row r="1899" spans="1:27" s="1" customFormat="1">
      <c r="A1899"/>
      <c r="B1899"/>
      <c r="C1899"/>
      <c r="D1899"/>
      <c r="E1899"/>
      <c r="F1899"/>
      <c r="G1899"/>
      <c r="H1899"/>
      <c r="I1899"/>
      <c r="J1899" s="3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  <c r="X1899" s="2"/>
      <c r="Y1899" s="2"/>
      <c r="Z1899" s="2"/>
      <c r="AA1899" s="2"/>
    </row>
    <row r="1900" spans="1:27" s="1" customFormat="1">
      <c r="A1900"/>
      <c r="B1900"/>
      <c r="C1900"/>
      <c r="D1900"/>
      <c r="E1900"/>
      <c r="F1900"/>
      <c r="G1900"/>
      <c r="H1900"/>
      <c r="I1900"/>
      <c r="J1900" s="3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  <c r="X1900" s="2"/>
      <c r="Y1900" s="2"/>
      <c r="Z1900" s="2"/>
      <c r="AA1900" s="2"/>
    </row>
    <row r="1901" spans="1:27" s="1" customFormat="1">
      <c r="A1901"/>
      <c r="B1901"/>
      <c r="C1901"/>
      <c r="D1901"/>
      <c r="E1901"/>
      <c r="F1901"/>
      <c r="G1901"/>
      <c r="H1901"/>
      <c r="I1901"/>
      <c r="J1901" s="3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  <c r="X1901" s="2"/>
      <c r="Y1901" s="2"/>
      <c r="Z1901" s="2"/>
      <c r="AA1901" s="2"/>
    </row>
    <row r="1902" spans="1:27" s="1" customFormat="1">
      <c r="A1902"/>
      <c r="B1902"/>
      <c r="C1902"/>
      <c r="D1902"/>
      <c r="E1902"/>
      <c r="F1902"/>
      <c r="G1902"/>
      <c r="H1902"/>
      <c r="I1902"/>
      <c r="J1902" s="3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  <c r="X1902" s="2"/>
      <c r="Y1902" s="2"/>
      <c r="Z1902" s="2"/>
      <c r="AA1902" s="2"/>
    </row>
    <row r="1903" spans="1:27" s="1" customFormat="1">
      <c r="A1903"/>
      <c r="B1903"/>
      <c r="C1903"/>
      <c r="D1903"/>
      <c r="E1903"/>
      <c r="F1903"/>
      <c r="G1903"/>
      <c r="H1903"/>
      <c r="I1903"/>
      <c r="J1903" s="3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  <c r="X1903" s="2"/>
      <c r="Y1903" s="2"/>
      <c r="Z1903" s="2"/>
      <c r="AA1903" s="2"/>
    </row>
    <row r="1904" spans="1:27" s="1" customFormat="1">
      <c r="A1904"/>
      <c r="B1904"/>
      <c r="C1904"/>
      <c r="D1904"/>
      <c r="E1904"/>
      <c r="F1904"/>
      <c r="G1904"/>
      <c r="H1904"/>
      <c r="I1904"/>
      <c r="J1904" s="3"/>
      <c r="K1904" s="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2"/>
      <c r="W1904" s="12"/>
      <c r="X1904" s="2"/>
      <c r="Y1904" s="2"/>
      <c r="Z1904" s="2"/>
      <c r="AA1904" s="2"/>
    </row>
    <row r="1905" spans="1:27" s="1" customFormat="1">
      <c r="A1905"/>
      <c r="B1905"/>
      <c r="C1905"/>
      <c r="D1905"/>
      <c r="E1905"/>
      <c r="F1905"/>
      <c r="G1905"/>
      <c r="H1905"/>
      <c r="I1905"/>
      <c r="K1905" s="2"/>
      <c r="L1905" s="14"/>
      <c r="M1905" s="14"/>
      <c r="N1905" s="14"/>
      <c r="O1905" s="12"/>
      <c r="P1905" s="12"/>
      <c r="Q1905" s="12"/>
      <c r="R1905" s="14"/>
      <c r="S1905" s="14"/>
      <c r="T1905" s="12"/>
      <c r="U1905" s="2"/>
      <c r="V1905" s="12"/>
      <c r="W1905" s="2"/>
      <c r="X1905" s="2"/>
      <c r="Y1905" s="2"/>
      <c r="Z1905" s="2"/>
      <c r="AA1905" s="2"/>
    </row>
    <row r="1906" spans="1:27" s="1" customFormat="1">
      <c r="A1906"/>
      <c r="B1906"/>
      <c r="C1906"/>
      <c r="D1906"/>
      <c r="E1906"/>
      <c r="F1906"/>
      <c r="G1906"/>
      <c r="H1906"/>
      <c r="I1906"/>
      <c r="K1906" s="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3"/>
      <c r="V1906" s="13"/>
      <c r="W1906" s="12"/>
      <c r="X1906" s="2"/>
      <c r="Y1906" s="2"/>
      <c r="Z1906" s="2"/>
      <c r="AA1906" s="2"/>
    </row>
    <row r="1907" spans="1:27" s="1" customFormat="1">
      <c r="A1907"/>
      <c r="B1907"/>
      <c r="C1907"/>
      <c r="D1907"/>
      <c r="E1907"/>
      <c r="F1907"/>
      <c r="G1907"/>
      <c r="H1907"/>
      <c r="I1907"/>
      <c r="K1907" s="2"/>
      <c r="L1907" s="10"/>
      <c r="M1907" s="10"/>
      <c r="N1907" s="9"/>
      <c r="O1907" s="6"/>
      <c r="P1907" s="8"/>
      <c r="Q1907" s="6"/>
      <c r="R1907" s="8"/>
      <c r="S1907" s="6"/>
      <c r="T1907" s="8"/>
      <c r="U1907" s="7"/>
      <c r="V1907" s="7"/>
      <c r="W1907" s="6"/>
      <c r="X1907" s="2"/>
      <c r="Y1907" s="2"/>
      <c r="Z1907" s="2"/>
      <c r="AA1907" s="2"/>
    </row>
    <row r="1908" spans="1:27" s="1" customFormat="1">
      <c r="A1908"/>
      <c r="B1908"/>
      <c r="C1908"/>
      <c r="D1908"/>
      <c r="E1908"/>
      <c r="F1908"/>
      <c r="G1908"/>
      <c r="H1908"/>
      <c r="I1908"/>
      <c r="K1908" s="11"/>
      <c r="L1908" s="10"/>
      <c r="M1908" s="10"/>
      <c r="N1908" s="9"/>
      <c r="O1908" s="6"/>
      <c r="P1908" s="8"/>
      <c r="Q1908" s="6"/>
      <c r="R1908" s="8"/>
      <c r="S1908" s="6"/>
      <c r="T1908" s="8"/>
      <c r="U1908" s="7"/>
      <c r="V1908" s="7"/>
      <c r="W1908" s="6"/>
      <c r="X1908" s="2"/>
      <c r="Y1908" s="2"/>
      <c r="Z1908" s="2"/>
      <c r="AA1908" s="2"/>
    </row>
    <row r="1909" spans="1:27" s="1" customFormat="1">
      <c r="A1909"/>
      <c r="B1909"/>
      <c r="C1909"/>
      <c r="D1909"/>
      <c r="E1909"/>
      <c r="F1909"/>
      <c r="G1909"/>
      <c r="H1909"/>
      <c r="I1909"/>
      <c r="K1909" s="2"/>
      <c r="L1909" s="10"/>
      <c r="M1909" s="10"/>
      <c r="N1909" s="9"/>
      <c r="O1909" s="6"/>
      <c r="P1909" s="8"/>
      <c r="Q1909" s="6"/>
      <c r="R1909" s="8"/>
      <c r="S1909" s="6"/>
      <c r="T1909" s="8"/>
      <c r="U1909" s="7"/>
      <c r="V1909" s="7"/>
      <c r="W1909" s="6"/>
      <c r="X1909" s="2"/>
      <c r="Y1909" s="2"/>
      <c r="Z1909" s="2"/>
      <c r="AA1909" s="2"/>
    </row>
    <row r="1910" spans="1:27" s="1" customFormat="1">
      <c r="A1910"/>
      <c r="B1910"/>
      <c r="C1910"/>
      <c r="D1910"/>
      <c r="E1910"/>
      <c r="F1910"/>
      <c r="G1910"/>
      <c r="H1910"/>
      <c r="I1910"/>
      <c r="K1910" s="2"/>
      <c r="L1910" s="10"/>
      <c r="M1910" s="10"/>
      <c r="N1910" s="9"/>
      <c r="O1910" s="6"/>
      <c r="P1910" s="8"/>
      <c r="Q1910" s="6"/>
      <c r="R1910" s="8"/>
      <c r="S1910" s="6"/>
      <c r="T1910" s="8"/>
      <c r="U1910" s="7"/>
      <c r="V1910" s="7"/>
      <c r="W1910" s="6"/>
      <c r="X1910" s="2"/>
      <c r="Y1910" s="2"/>
      <c r="Z1910" s="2"/>
      <c r="AA1910" s="2"/>
    </row>
    <row r="1911" spans="1:27" s="1" customFormat="1">
      <c r="A1911"/>
      <c r="B1911"/>
      <c r="C1911"/>
      <c r="D1911"/>
      <c r="E1911"/>
      <c r="F1911"/>
      <c r="G1911"/>
      <c r="H1911"/>
      <c r="I1911"/>
      <c r="K1911" s="2"/>
      <c r="L1911" s="2"/>
      <c r="M1911" s="2"/>
      <c r="N1911" s="2"/>
      <c r="O1911" s="6"/>
      <c r="P1911" s="8"/>
      <c r="Q1911" s="6"/>
      <c r="R1911" s="8"/>
      <c r="S1911" s="6"/>
      <c r="T1911" s="8"/>
      <c r="U1911" s="7"/>
      <c r="V1911" s="7"/>
      <c r="W1911" s="6"/>
      <c r="X1911" s="2"/>
      <c r="Y1911" s="2"/>
      <c r="Z1911" s="2"/>
      <c r="AA1911" s="2"/>
    </row>
    <row r="1912" spans="1:27" s="1" customFormat="1">
      <c r="A1912"/>
      <c r="B1912"/>
      <c r="C1912"/>
      <c r="D1912"/>
      <c r="E1912"/>
      <c r="F1912"/>
      <c r="G1912"/>
      <c r="H1912"/>
      <c r="I1912"/>
      <c r="K1912" s="2"/>
      <c r="L1912" s="2"/>
      <c r="M1912" s="2"/>
      <c r="N1912" s="2"/>
      <c r="O1912" s="5"/>
      <c r="P1912" s="4"/>
      <c r="Q1912" s="2"/>
      <c r="R1912" s="2"/>
      <c r="S1912" s="2"/>
      <c r="T1912" s="2"/>
      <c r="U1912" s="2"/>
      <c r="V1912" s="2"/>
      <c r="W1912" s="2"/>
      <c r="X1912" s="2"/>
      <c r="Y1912" s="2"/>
      <c r="Z1912" s="2"/>
      <c r="AA1912" s="2"/>
    </row>
    <row r="1913" spans="1:27" s="1" customFormat="1">
      <c r="A1913"/>
      <c r="B1913"/>
      <c r="C1913"/>
      <c r="D1913"/>
      <c r="E1913"/>
      <c r="F1913"/>
      <c r="G1913"/>
      <c r="H1913"/>
      <c r="I1913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  <c r="X1913" s="2"/>
      <c r="Y1913" s="2"/>
      <c r="Z1913" s="2"/>
      <c r="AA1913" s="2"/>
    </row>
    <row r="1914" spans="1:27" s="1" customFormat="1">
      <c r="A1914"/>
      <c r="B1914"/>
      <c r="C1914"/>
      <c r="D1914"/>
      <c r="E1914"/>
      <c r="F1914"/>
      <c r="G1914"/>
      <c r="H1914"/>
      <c r="I1914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  <c r="X1914" s="2"/>
      <c r="Y1914" s="2"/>
      <c r="Z1914" s="2"/>
      <c r="AA1914" s="2"/>
    </row>
    <row r="1915" spans="1:27" s="1" customFormat="1">
      <c r="A1915"/>
      <c r="B1915"/>
      <c r="C1915"/>
      <c r="D1915"/>
      <c r="E1915"/>
      <c r="F1915"/>
      <c r="G1915"/>
      <c r="H1915"/>
      <c r="I1915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  <c r="X1915" s="2"/>
      <c r="Y1915" s="2"/>
      <c r="Z1915" s="2"/>
      <c r="AA1915" s="2"/>
    </row>
    <row r="1916" spans="1:27" s="1" customFormat="1">
      <c r="A1916"/>
      <c r="B1916"/>
      <c r="C1916"/>
      <c r="D1916"/>
      <c r="E1916"/>
      <c r="F1916"/>
      <c r="G1916"/>
      <c r="H1916"/>
      <c r="I1916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  <c r="X1916" s="2"/>
      <c r="Y1916" s="2"/>
      <c r="Z1916" s="2"/>
      <c r="AA1916" s="2"/>
    </row>
    <row r="1917" spans="1:27" s="1" customFormat="1">
      <c r="A1917"/>
      <c r="B1917"/>
      <c r="C1917"/>
      <c r="D1917"/>
      <c r="E1917"/>
      <c r="F1917"/>
      <c r="G1917"/>
      <c r="H1917"/>
      <c r="I1917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  <c r="X1917" s="2"/>
      <c r="Y1917" s="2"/>
      <c r="Z1917" s="2"/>
      <c r="AA1917" s="2"/>
    </row>
    <row r="1918" spans="1:27" s="1" customFormat="1">
      <c r="A1918"/>
      <c r="B1918"/>
      <c r="C1918"/>
      <c r="D1918"/>
      <c r="E1918"/>
      <c r="F1918"/>
      <c r="G1918"/>
      <c r="H1918"/>
      <c r="I1918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  <c r="X1918" s="2"/>
      <c r="Y1918" s="2"/>
      <c r="Z1918" s="2"/>
      <c r="AA1918" s="2"/>
    </row>
    <row r="1919" spans="1:27" s="1" customFormat="1">
      <c r="A1919"/>
      <c r="B1919"/>
      <c r="C1919"/>
      <c r="D1919"/>
      <c r="E1919"/>
      <c r="F1919"/>
      <c r="G1919"/>
      <c r="H1919"/>
      <c r="I1919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  <c r="X1919" s="2"/>
      <c r="Y1919" s="2"/>
      <c r="Z1919" s="2"/>
      <c r="AA1919" s="2"/>
    </row>
    <row r="1920" spans="1:27" s="1" customFormat="1">
      <c r="A1920"/>
      <c r="B1920"/>
      <c r="C1920"/>
      <c r="D1920"/>
      <c r="E1920"/>
      <c r="F1920"/>
      <c r="G1920"/>
      <c r="H1920"/>
      <c r="I1920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  <c r="X1920" s="2"/>
      <c r="Y1920" s="2"/>
      <c r="Z1920" s="2"/>
      <c r="AA1920" s="2"/>
    </row>
    <row r="1921" spans="1:27" s="1" customFormat="1">
      <c r="A1921"/>
      <c r="B1921"/>
      <c r="C1921"/>
      <c r="D1921"/>
      <c r="E1921"/>
      <c r="F1921"/>
      <c r="G1921"/>
      <c r="H1921"/>
      <c r="I1921"/>
      <c r="J1921" s="3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  <c r="X1921" s="2"/>
      <c r="Y1921" s="2"/>
      <c r="Z1921" s="2"/>
      <c r="AA1921" s="2"/>
    </row>
    <row r="1922" spans="1:27" s="1" customFormat="1">
      <c r="A1922"/>
      <c r="B1922"/>
      <c r="C1922"/>
      <c r="D1922"/>
      <c r="E1922"/>
      <c r="F1922"/>
      <c r="G1922"/>
      <c r="H1922"/>
      <c r="I1922"/>
      <c r="J1922" s="3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  <c r="X1922" s="2"/>
      <c r="Y1922" s="2"/>
      <c r="Z1922" s="2"/>
      <c r="AA1922" s="2"/>
    </row>
    <row r="1923" spans="1:27" s="1" customFormat="1">
      <c r="A1923"/>
      <c r="B1923"/>
      <c r="C1923"/>
      <c r="D1923"/>
      <c r="E1923"/>
      <c r="F1923"/>
      <c r="G1923"/>
      <c r="H1923"/>
      <c r="I1923"/>
      <c r="J1923" s="3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  <c r="X1923" s="2"/>
      <c r="Y1923" s="2"/>
      <c r="Z1923" s="2"/>
      <c r="AA1923" s="2"/>
    </row>
    <row r="1924" spans="1:27" s="1" customFormat="1">
      <c r="A1924"/>
      <c r="B1924"/>
      <c r="C1924"/>
      <c r="D1924"/>
      <c r="E1924"/>
      <c r="F1924"/>
      <c r="G1924"/>
      <c r="H1924"/>
      <c r="I1924"/>
      <c r="J1924" s="3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  <c r="X1924" s="2"/>
      <c r="Y1924" s="2"/>
      <c r="Z1924" s="2"/>
      <c r="AA1924" s="2"/>
    </row>
    <row r="1925" spans="1:27" s="1" customFormat="1">
      <c r="A1925"/>
      <c r="B1925"/>
      <c r="C1925"/>
      <c r="D1925"/>
      <c r="E1925"/>
      <c r="F1925"/>
      <c r="G1925"/>
      <c r="H1925"/>
      <c r="I1925"/>
      <c r="J1925" s="3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  <c r="X1925" s="2"/>
      <c r="Y1925" s="2"/>
      <c r="Z1925" s="2"/>
      <c r="AA1925" s="2"/>
    </row>
    <row r="1926" spans="1:27" s="1" customFormat="1">
      <c r="A1926"/>
      <c r="B1926"/>
      <c r="C1926"/>
      <c r="D1926"/>
      <c r="E1926"/>
      <c r="F1926"/>
      <c r="G1926"/>
      <c r="H1926"/>
      <c r="I1926"/>
      <c r="J1926" s="3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  <c r="X1926" s="2"/>
      <c r="Y1926" s="2"/>
      <c r="Z1926" s="2"/>
      <c r="AA1926" s="2"/>
    </row>
    <row r="1927" spans="1:27" s="1" customFormat="1">
      <c r="A1927"/>
      <c r="B1927"/>
      <c r="C1927"/>
      <c r="D1927"/>
      <c r="E1927"/>
      <c r="F1927"/>
      <c r="G1927"/>
      <c r="H1927"/>
      <c r="I1927"/>
      <c r="J1927" s="3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  <c r="X1927" s="2"/>
      <c r="Y1927" s="2"/>
      <c r="Z1927" s="2"/>
      <c r="AA1927" s="2"/>
    </row>
    <row r="1928" spans="1:27" s="1" customFormat="1">
      <c r="A1928"/>
      <c r="B1928"/>
      <c r="C1928"/>
      <c r="D1928"/>
      <c r="E1928"/>
      <c r="F1928"/>
      <c r="G1928"/>
      <c r="H1928"/>
      <c r="I1928"/>
      <c r="J1928" s="3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  <c r="X1928" s="2"/>
      <c r="Y1928" s="2"/>
      <c r="Z1928" s="2"/>
      <c r="AA1928" s="2"/>
    </row>
    <row r="1929" spans="1:27" s="1" customFormat="1">
      <c r="A1929"/>
      <c r="B1929"/>
      <c r="C1929"/>
      <c r="D1929"/>
      <c r="E1929"/>
      <c r="F1929"/>
      <c r="G1929"/>
      <c r="H1929"/>
      <c r="I1929"/>
      <c r="J1929" s="3"/>
      <c r="K1929" s="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2"/>
      <c r="W1929" s="12"/>
      <c r="X1929" s="2"/>
      <c r="Y1929" s="2"/>
      <c r="Z1929" s="2"/>
      <c r="AA1929" s="2"/>
    </row>
    <row r="1930" spans="1:27" s="1" customFormat="1">
      <c r="A1930"/>
      <c r="B1930"/>
      <c r="C1930"/>
      <c r="D1930"/>
      <c r="E1930"/>
      <c r="F1930"/>
      <c r="G1930"/>
      <c r="H1930"/>
      <c r="I1930"/>
      <c r="J1930" s="3"/>
      <c r="K1930" s="2"/>
      <c r="L1930" s="14"/>
      <c r="M1930" s="14"/>
      <c r="N1930" s="14"/>
      <c r="O1930" s="12"/>
      <c r="P1930" s="12"/>
      <c r="Q1930" s="12"/>
      <c r="R1930" s="14"/>
      <c r="S1930" s="14"/>
      <c r="T1930" s="12"/>
      <c r="U1930" s="2"/>
      <c r="V1930" s="12"/>
      <c r="W1930" s="2"/>
      <c r="X1930" s="2"/>
      <c r="Y1930" s="2"/>
      <c r="Z1930" s="2"/>
      <c r="AA1930" s="2"/>
    </row>
    <row r="1931" spans="1:27" s="1" customFormat="1">
      <c r="A1931"/>
      <c r="B1931"/>
      <c r="C1931"/>
      <c r="D1931"/>
      <c r="E1931"/>
      <c r="F1931"/>
      <c r="G1931"/>
      <c r="H1931"/>
      <c r="I1931"/>
      <c r="J1931" s="3"/>
      <c r="K1931" s="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3"/>
      <c r="V1931" s="13"/>
      <c r="W1931" s="12"/>
      <c r="X1931" s="2"/>
      <c r="Y1931" s="2"/>
      <c r="Z1931" s="2"/>
      <c r="AA1931" s="2"/>
    </row>
    <row r="1932" spans="1:27" s="1" customFormat="1">
      <c r="A1932"/>
      <c r="B1932"/>
      <c r="C1932"/>
      <c r="D1932"/>
      <c r="E1932"/>
      <c r="F1932"/>
      <c r="G1932"/>
      <c r="H1932"/>
      <c r="I1932"/>
      <c r="J1932" s="3"/>
      <c r="K1932" s="2"/>
      <c r="L1932" s="10"/>
      <c r="M1932" s="10"/>
      <c r="N1932" s="9"/>
      <c r="O1932" s="6"/>
      <c r="P1932" s="8"/>
      <c r="Q1932" s="6"/>
      <c r="R1932" s="8"/>
      <c r="S1932" s="6"/>
      <c r="T1932" s="8"/>
      <c r="U1932" s="7"/>
      <c r="V1932" s="7"/>
      <c r="W1932" s="6"/>
      <c r="X1932" s="2"/>
      <c r="Y1932" s="2"/>
      <c r="Z1932" s="2"/>
      <c r="AA1932" s="2"/>
    </row>
    <row r="1933" spans="1:27" s="1" customFormat="1">
      <c r="A1933"/>
      <c r="B1933"/>
      <c r="C1933"/>
      <c r="D1933"/>
      <c r="E1933"/>
      <c r="F1933"/>
      <c r="G1933"/>
      <c r="H1933"/>
      <c r="I1933"/>
      <c r="J1933" s="3"/>
      <c r="K1933" s="11"/>
      <c r="L1933" s="10"/>
      <c r="M1933" s="10"/>
      <c r="N1933" s="9"/>
      <c r="O1933" s="6"/>
      <c r="P1933" s="8"/>
      <c r="Q1933" s="6"/>
      <c r="R1933" s="8"/>
      <c r="S1933" s="6"/>
      <c r="T1933" s="8"/>
      <c r="U1933" s="7"/>
      <c r="V1933" s="7"/>
      <c r="W1933" s="6"/>
      <c r="X1933" s="2"/>
      <c r="Y1933" s="2"/>
      <c r="Z1933" s="2"/>
      <c r="AA1933" s="2"/>
    </row>
    <row r="1934" spans="1:27" s="1" customFormat="1">
      <c r="A1934"/>
      <c r="B1934"/>
      <c r="C1934"/>
      <c r="D1934"/>
      <c r="E1934"/>
      <c r="F1934"/>
      <c r="G1934"/>
      <c r="H1934"/>
      <c r="I1934"/>
      <c r="J1934" s="3"/>
      <c r="K1934" s="2"/>
      <c r="L1934" s="10"/>
      <c r="M1934" s="10"/>
      <c r="N1934" s="9"/>
      <c r="O1934" s="6"/>
      <c r="P1934" s="8"/>
      <c r="Q1934" s="6"/>
      <c r="R1934" s="8"/>
      <c r="S1934" s="6"/>
      <c r="T1934" s="8"/>
      <c r="U1934" s="7"/>
      <c r="V1934" s="7"/>
      <c r="W1934" s="6"/>
      <c r="X1934" s="2"/>
      <c r="Y1934" s="2"/>
      <c r="Z1934" s="2"/>
      <c r="AA1934" s="2"/>
    </row>
    <row r="1935" spans="1:27" s="1" customFormat="1">
      <c r="A1935"/>
      <c r="B1935"/>
      <c r="C1935"/>
      <c r="D1935"/>
      <c r="E1935"/>
      <c r="F1935"/>
      <c r="G1935"/>
      <c r="H1935"/>
      <c r="I1935"/>
      <c r="J1935" s="3"/>
      <c r="K1935" s="2"/>
      <c r="L1935" s="10"/>
      <c r="M1935" s="10"/>
      <c r="N1935" s="9"/>
      <c r="O1935" s="6"/>
      <c r="P1935" s="8"/>
      <c r="Q1935" s="6"/>
      <c r="R1935" s="8"/>
      <c r="S1935" s="6"/>
      <c r="T1935" s="8"/>
      <c r="U1935" s="7"/>
      <c r="V1935" s="7"/>
      <c r="W1935" s="6"/>
      <c r="X1935" s="2"/>
      <c r="Y1935" s="2"/>
      <c r="Z1935" s="2"/>
      <c r="AA1935" s="2"/>
    </row>
    <row r="1936" spans="1:27" s="1" customFormat="1">
      <c r="A1936"/>
      <c r="B1936"/>
      <c r="C1936"/>
      <c r="D1936"/>
      <c r="E1936"/>
      <c r="F1936"/>
      <c r="G1936"/>
      <c r="H1936"/>
      <c r="I1936"/>
      <c r="J1936" s="3"/>
      <c r="K1936" s="2"/>
      <c r="L1936" s="2"/>
      <c r="M1936" s="2"/>
      <c r="N1936" s="2"/>
      <c r="O1936" s="6"/>
      <c r="P1936" s="8"/>
      <c r="Q1936" s="6"/>
      <c r="R1936" s="8"/>
      <c r="S1936" s="6"/>
      <c r="T1936" s="8"/>
      <c r="U1936" s="7"/>
      <c r="V1936" s="7"/>
      <c r="W1936" s="6"/>
      <c r="X1936" s="2"/>
      <c r="Y1936" s="2"/>
      <c r="Z1936" s="2"/>
      <c r="AA1936" s="2"/>
    </row>
    <row r="1937" spans="1:27" s="1" customFormat="1">
      <c r="A1937"/>
      <c r="B1937"/>
      <c r="C1937"/>
      <c r="D1937"/>
      <c r="E1937"/>
      <c r="F1937"/>
      <c r="G1937"/>
      <c r="H1937"/>
      <c r="I1937"/>
      <c r="J1937" s="3"/>
      <c r="K1937" s="2"/>
      <c r="L1937" s="2"/>
      <c r="M1937" s="2"/>
      <c r="N1937" s="2"/>
      <c r="O1937" s="5"/>
      <c r="P1937" s="4"/>
      <c r="Q1937" s="2"/>
      <c r="R1937" s="2"/>
      <c r="S1937" s="2"/>
      <c r="T1937" s="2"/>
      <c r="U1937" s="2"/>
      <c r="V1937" s="2"/>
      <c r="W1937" s="2"/>
      <c r="X1937" s="2"/>
      <c r="Y1937" s="2"/>
      <c r="Z1937" s="2"/>
      <c r="AA1937" s="2"/>
    </row>
    <row r="1938" spans="1:27" s="1" customFormat="1">
      <c r="A1938"/>
      <c r="B1938"/>
      <c r="C1938"/>
      <c r="D1938"/>
      <c r="E1938"/>
      <c r="F1938"/>
      <c r="G1938"/>
      <c r="H1938"/>
      <c r="I1938"/>
      <c r="J1938" s="3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  <c r="X1938" s="2"/>
      <c r="Y1938" s="2"/>
      <c r="Z1938" s="2"/>
      <c r="AA1938" s="2"/>
    </row>
    <row r="1939" spans="1:27" s="1" customFormat="1">
      <c r="A1939"/>
      <c r="B1939"/>
      <c r="C1939"/>
      <c r="D1939"/>
      <c r="E1939"/>
      <c r="F1939"/>
      <c r="G1939"/>
      <c r="H1939"/>
      <c r="I1939"/>
      <c r="J1939" s="3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  <c r="X1939" s="2"/>
      <c r="Y1939" s="2"/>
      <c r="Z1939" s="2"/>
      <c r="AA1939" s="2"/>
    </row>
    <row r="1940" spans="1:27" s="1" customFormat="1">
      <c r="A1940"/>
      <c r="B1940"/>
      <c r="C1940"/>
      <c r="D1940"/>
      <c r="E1940"/>
      <c r="F1940"/>
      <c r="G1940"/>
      <c r="H1940"/>
      <c r="I1940"/>
      <c r="J1940" s="3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  <c r="X1940" s="2"/>
      <c r="Y1940" s="2"/>
      <c r="Z1940" s="2"/>
      <c r="AA1940" s="2"/>
    </row>
    <row r="1941" spans="1:27" s="1" customFormat="1">
      <c r="A1941"/>
      <c r="B1941"/>
      <c r="C1941"/>
      <c r="D1941"/>
      <c r="E1941"/>
      <c r="F1941"/>
      <c r="G1941"/>
      <c r="H1941"/>
      <c r="I1941"/>
      <c r="J1941" s="3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  <c r="X1941" s="2"/>
      <c r="Y1941" s="2"/>
      <c r="Z1941" s="2"/>
      <c r="AA1941" s="2"/>
    </row>
    <row r="1942" spans="1:27" s="1" customFormat="1">
      <c r="A1942"/>
      <c r="B1942"/>
      <c r="C1942"/>
      <c r="D1942"/>
      <c r="E1942"/>
      <c r="F1942"/>
      <c r="G1942"/>
      <c r="H1942"/>
      <c r="I1942"/>
      <c r="J1942" s="3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  <c r="X1942" s="2"/>
      <c r="Y1942" s="2"/>
      <c r="Z1942" s="2"/>
      <c r="AA1942" s="2"/>
    </row>
    <row r="1943" spans="1:27" s="1" customFormat="1">
      <c r="A1943"/>
      <c r="B1943"/>
      <c r="C1943"/>
      <c r="D1943"/>
      <c r="E1943"/>
      <c r="F1943"/>
      <c r="G1943"/>
      <c r="H1943"/>
      <c r="I1943"/>
      <c r="J1943" s="3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  <c r="X1943" s="2"/>
      <c r="Y1943" s="2"/>
      <c r="Z1943" s="2"/>
      <c r="AA1943" s="2"/>
    </row>
    <row r="1944" spans="1:27" s="1" customFormat="1">
      <c r="A1944"/>
      <c r="B1944"/>
      <c r="C1944"/>
      <c r="D1944"/>
      <c r="E1944"/>
      <c r="F1944"/>
      <c r="G1944"/>
      <c r="H1944"/>
      <c r="I1944"/>
      <c r="J1944" s="3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  <c r="X1944" s="2"/>
      <c r="Y1944" s="2"/>
      <c r="Z1944" s="2"/>
      <c r="AA1944" s="2"/>
    </row>
    <row r="1945" spans="1:27" s="1" customFormat="1">
      <c r="A1945"/>
      <c r="B1945"/>
      <c r="C1945"/>
      <c r="D1945"/>
      <c r="E1945"/>
      <c r="F1945"/>
      <c r="G1945"/>
      <c r="H1945"/>
      <c r="I1945"/>
      <c r="J1945" s="3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  <c r="X1945" s="2"/>
      <c r="Y1945" s="2"/>
      <c r="Z1945" s="2"/>
      <c r="AA1945" s="2"/>
    </row>
    <row r="1946" spans="1:27" s="1" customFormat="1">
      <c r="A1946"/>
      <c r="B1946"/>
      <c r="C1946"/>
      <c r="D1946"/>
      <c r="E1946"/>
      <c r="F1946"/>
      <c r="G1946"/>
      <c r="H1946"/>
      <c r="I1946"/>
      <c r="J1946" s="3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  <c r="X1946" s="2"/>
      <c r="Y1946" s="2"/>
      <c r="Z1946" s="2"/>
      <c r="AA1946" s="2"/>
    </row>
    <row r="1947" spans="1:27" s="1" customFormat="1">
      <c r="A1947"/>
      <c r="B1947"/>
      <c r="C1947"/>
      <c r="D1947"/>
      <c r="E1947"/>
      <c r="F1947"/>
      <c r="G1947"/>
      <c r="H1947"/>
      <c r="I1947"/>
      <c r="J1947" s="3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  <c r="X1947" s="2"/>
      <c r="Y1947" s="2"/>
      <c r="Z1947" s="2"/>
      <c r="AA1947" s="2"/>
    </row>
    <row r="1948" spans="1:27" s="1" customFormat="1">
      <c r="A1948"/>
      <c r="B1948"/>
      <c r="C1948"/>
      <c r="D1948"/>
      <c r="E1948"/>
      <c r="F1948"/>
      <c r="G1948"/>
      <c r="H1948"/>
      <c r="I1948"/>
      <c r="J1948" s="3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  <c r="X1948" s="2"/>
      <c r="Y1948" s="2"/>
      <c r="Z1948" s="2"/>
      <c r="AA1948" s="2"/>
    </row>
    <row r="1949" spans="1:27" s="1" customFormat="1">
      <c r="A1949"/>
      <c r="B1949"/>
      <c r="C1949"/>
      <c r="D1949"/>
      <c r="E1949"/>
      <c r="F1949"/>
      <c r="G1949"/>
      <c r="H1949"/>
      <c r="I1949"/>
      <c r="J1949" s="3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  <c r="X1949" s="2"/>
      <c r="Y1949" s="2"/>
      <c r="Z1949" s="2"/>
      <c r="AA1949" s="2"/>
    </row>
    <row r="1950" spans="1:27" s="1" customFormat="1">
      <c r="A1950"/>
      <c r="B1950"/>
      <c r="C1950"/>
      <c r="D1950"/>
      <c r="E1950"/>
      <c r="F1950"/>
      <c r="G1950"/>
      <c r="H1950"/>
      <c r="I1950"/>
      <c r="J1950" s="3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  <c r="X1950" s="2"/>
      <c r="Y1950" s="2"/>
      <c r="Z1950" s="2"/>
      <c r="AA1950" s="2"/>
    </row>
    <row r="1951" spans="1:27" s="1" customFormat="1">
      <c r="A1951"/>
      <c r="B1951"/>
      <c r="C1951"/>
      <c r="D1951"/>
      <c r="E1951"/>
      <c r="F1951"/>
      <c r="G1951"/>
      <c r="H1951"/>
      <c r="I1951"/>
      <c r="J1951" s="3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  <c r="X1951" s="2"/>
      <c r="Y1951" s="2"/>
      <c r="Z1951" s="2"/>
      <c r="AA1951" s="2"/>
    </row>
    <row r="1952" spans="1:27" s="1" customFormat="1">
      <c r="A1952"/>
      <c r="B1952"/>
      <c r="C1952"/>
      <c r="D1952"/>
      <c r="E1952"/>
      <c r="F1952"/>
      <c r="G1952"/>
      <c r="H1952"/>
      <c r="I1952"/>
      <c r="J1952" s="3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  <c r="X1952" s="2"/>
      <c r="Y1952" s="2"/>
      <c r="Z1952" s="2"/>
      <c r="AA1952" s="2"/>
    </row>
    <row r="1953" spans="1:27" s="1" customFormat="1">
      <c r="A1953"/>
      <c r="B1953"/>
      <c r="C1953"/>
      <c r="D1953"/>
      <c r="E1953"/>
      <c r="F1953"/>
      <c r="G1953"/>
      <c r="H1953"/>
      <c r="I1953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  <c r="X1953" s="2"/>
      <c r="Y1953" s="2"/>
      <c r="Z1953" s="2"/>
      <c r="AA1953" s="2"/>
    </row>
    <row r="1954" spans="1:27" s="1" customFormat="1">
      <c r="A1954"/>
      <c r="B1954"/>
      <c r="C1954"/>
      <c r="D1954"/>
      <c r="E1954"/>
      <c r="F1954"/>
      <c r="G1954"/>
      <c r="H1954"/>
      <c r="I1954"/>
      <c r="K1954" s="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2"/>
      <c r="W1954" s="12"/>
      <c r="X1954" s="2"/>
      <c r="Y1954" s="2"/>
      <c r="Z1954" s="2"/>
      <c r="AA1954" s="2"/>
    </row>
    <row r="1955" spans="1:27" s="1" customFormat="1">
      <c r="A1955"/>
      <c r="B1955"/>
      <c r="C1955"/>
      <c r="D1955"/>
      <c r="E1955"/>
      <c r="F1955"/>
      <c r="G1955"/>
      <c r="H1955"/>
      <c r="I1955"/>
      <c r="K1955" s="2"/>
      <c r="L1955" s="14"/>
      <c r="M1955" s="14"/>
      <c r="N1955" s="14"/>
      <c r="O1955" s="12"/>
      <c r="P1955" s="12"/>
      <c r="Q1955" s="12"/>
      <c r="R1955" s="14"/>
      <c r="S1955" s="14"/>
      <c r="T1955" s="12"/>
      <c r="U1955" s="2"/>
      <c r="V1955" s="12"/>
      <c r="W1955" s="2"/>
      <c r="X1955" s="2"/>
      <c r="Y1955" s="2"/>
      <c r="Z1955" s="2"/>
      <c r="AA1955" s="2"/>
    </row>
    <row r="1956" spans="1:27" s="1" customFormat="1">
      <c r="A1956"/>
      <c r="B1956"/>
      <c r="C1956"/>
      <c r="D1956"/>
      <c r="E1956"/>
      <c r="F1956"/>
      <c r="G1956"/>
      <c r="H1956"/>
      <c r="I1956"/>
      <c r="K1956" s="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3"/>
      <c r="V1956" s="13"/>
      <c r="W1956" s="12"/>
      <c r="X1956" s="2"/>
      <c r="Y1956" s="2"/>
      <c r="Z1956" s="2"/>
      <c r="AA1956" s="2"/>
    </row>
    <row r="1957" spans="1:27" s="1" customFormat="1">
      <c r="A1957"/>
      <c r="B1957"/>
      <c r="C1957"/>
      <c r="D1957"/>
      <c r="E1957"/>
      <c r="F1957"/>
      <c r="G1957"/>
      <c r="H1957"/>
      <c r="I1957"/>
      <c r="K1957" s="2"/>
      <c r="L1957" s="10"/>
      <c r="M1957" s="10"/>
      <c r="N1957" s="9"/>
      <c r="O1957" s="6"/>
      <c r="P1957" s="8"/>
      <c r="Q1957" s="6"/>
      <c r="R1957" s="8"/>
      <c r="S1957" s="6"/>
      <c r="T1957" s="8"/>
      <c r="U1957" s="7"/>
      <c r="V1957" s="7"/>
      <c r="W1957" s="6"/>
      <c r="X1957" s="2"/>
      <c r="Y1957" s="2"/>
      <c r="Z1957" s="2"/>
      <c r="AA1957" s="2"/>
    </row>
    <row r="1958" spans="1:27" s="1" customFormat="1">
      <c r="A1958"/>
      <c r="B1958"/>
      <c r="C1958"/>
      <c r="D1958"/>
      <c r="E1958"/>
      <c r="F1958"/>
      <c r="G1958"/>
      <c r="H1958"/>
      <c r="I1958"/>
      <c r="K1958" s="11"/>
      <c r="L1958" s="10"/>
      <c r="M1958" s="10"/>
      <c r="N1958" s="9"/>
      <c r="O1958" s="6"/>
      <c r="P1958" s="8"/>
      <c r="Q1958" s="6"/>
      <c r="R1958" s="8"/>
      <c r="S1958" s="6"/>
      <c r="T1958" s="8"/>
      <c r="U1958" s="7"/>
      <c r="V1958" s="7"/>
      <c r="W1958" s="6"/>
      <c r="X1958" s="2"/>
      <c r="Y1958" s="2"/>
      <c r="Z1958" s="2"/>
      <c r="AA1958" s="2"/>
    </row>
    <row r="1959" spans="1:27" s="1" customFormat="1">
      <c r="A1959"/>
      <c r="B1959"/>
      <c r="C1959"/>
      <c r="D1959"/>
      <c r="E1959"/>
      <c r="F1959"/>
      <c r="G1959"/>
      <c r="H1959"/>
      <c r="I1959"/>
      <c r="K1959" s="2"/>
      <c r="L1959" s="10"/>
      <c r="M1959" s="10"/>
      <c r="N1959" s="9"/>
      <c r="O1959" s="6"/>
      <c r="P1959" s="8"/>
      <c r="Q1959" s="6"/>
      <c r="R1959" s="8"/>
      <c r="S1959" s="6"/>
      <c r="T1959" s="8"/>
      <c r="U1959" s="7"/>
      <c r="V1959" s="7"/>
      <c r="W1959" s="6"/>
      <c r="X1959" s="2"/>
      <c r="Y1959" s="2"/>
      <c r="Z1959" s="2"/>
      <c r="AA1959" s="2"/>
    </row>
    <row r="1960" spans="1:27" s="1" customFormat="1">
      <c r="A1960"/>
      <c r="B1960"/>
      <c r="C1960"/>
      <c r="D1960"/>
      <c r="E1960"/>
      <c r="F1960"/>
      <c r="G1960"/>
      <c r="H1960"/>
      <c r="I1960"/>
      <c r="K1960" s="2"/>
      <c r="L1960" s="10"/>
      <c r="M1960" s="10"/>
      <c r="N1960" s="9"/>
      <c r="O1960" s="6"/>
      <c r="P1960" s="8"/>
      <c r="Q1960" s="6"/>
      <c r="R1960" s="8"/>
      <c r="S1960" s="6"/>
      <c r="T1960" s="8"/>
      <c r="U1960" s="7"/>
      <c r="V1960" s="7"/>
      <c r="W1960" s="6"/>
      <c r="X1960" s="2"/>
      <c r="Y1960" s="2"/>
      <c r="Z1960" s="2"/>
      <c r="AA1960" s="2"/>
    </row>
    <row r="1961" spans="1:27" s="1" customFormat="1">
      <c r="A1961"/>
      <c r="B1961"/>
      <c r="C1961"/>
      <c r="D1961"/>
      <c r="E1961"/>
      <c r="F1961"/>
      <c r="G1961"/>
      <c r="H1961"/>
      <c r="I1961"/>
      <c r="K1961" s="2"/>
      <c r="L1961" s="2"/>
      <c r="M1961" s="2"/>
      <c r="N1961" s="2"/>
      <c r="O1961" s="6"/>
      <c r="P1961" s="8"/>
      <c r="Q1961" s="6"/>
      <c r="R1961" s="8"/>
      <c r="S1961" s="6"/>
      <c r="T1961" s="8"/>
      <c r="U1961" s="7"/>
      <c r="V1961" s="7"/>
      <c r="W1961" s="6"/>
      <c r="X1961" s="2"/>
      <c r="Y1961" s="2"/>
      <c r="Z1961" s="2"/>
      <c r="AA1961" s="2"/>
    </row>
    <row r="1962" spans="1:27" s="1" customFormat="1">
      <c r="A1962"/>
      <c r="B1962"/>
      <c r="C1962"/>
      <c r="D1962"/>
      <c r="E1962"/>
      <c r="F1962"/>
      <c r="G1962"/>
      <c r="H1962"/>
      <c r="I1962"/>
      <c r="K1962" s="2"/>
      <c r="L1962" s="2"/>
      <c r="M1962" s="2"/>
      <c r="N1962" s="2"/>
      <c r="O1962" s="5"/>
      <c r="P1962" s="4"/>
      <c r="Q1962" s="2"/>
      <c r="R1962" s="2"/>
      <c r="S1962" s="2"/>
      <c r="T1962" s="2"/>
      <c r="U1962" s="2"/>
      <c r="V1962" s="2"/>
      <c r="W1962" s="2"/>
      <c r="X1962" s="2"/>
      <c r="Y1962" s="2"/>
      <c r="Z1962" s="2"/>
      <c r="AA1962" s="2"/>
    </row>
    <row r="1963" spans="1:27" s="1" customFormat="1">
      <c r="A1963"/>
      <c r="B1963"/>
      <c r="C1963"/>
      <c r="D1963"/>
      <c r="E1963"/>
      <c r="F1963"/>
      <c r="G1963"/>
      <c r="H1963"/>
      <c r="I1963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  <c r="X1963" s="2"/>
      <c r="Y1963" s="2"/>
      <c r="Z1963" s="2"/>
      <c r="AA1963" s="2"/>
    </row>
    <row r="1964" spans="1:27" s="1" customFormat="1">
      <c r="A1964"/>
      <c r="B1964"/>
      <c r="C1964"/>
      <c r="D1964"/>
      <c r="E1964"/>
      <c r="F1964"/>
      <c r="G1964"/>
      <c r="H1964"/>
      <c r="I1964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  <c r="X1964" s="2"/>
      <c r="Y1964" s="2"/>
      <c r="Z1964" s="2"/>
      <c r="AA1964" s="2"/>
    </row>
    <row r="1965" spans="1:27" s="1" customFormat="1">
      <c r="A1965"/>
      <c r="B1965"/>
      <c r="C1965"/>
      <c r="D1965"/>
      <c r="E1965"/>
      <c r="F1965"/>
      <c r="G1965"/>
      <c r="H1965"/>
      <c r="I1965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  <c r="X1965" s="2"/>
      <c r="Y1965" s="2"/>
      <c r="Z1965" s="2"/>
      <c r="AA1965" s="2"/>
    </row>
    <row r="1966" spans="1:27" s="1" customFormat="1">
      <c r="A1966"/>
      <c r="B1966"/>
      <c r="C1966"/>
      <c r="D1966"/>
      <c r="E1966"/>
      <c r="F1966"/>
      <c r="G1966"/>
      <c r="H1966"/>
      <c r="I1966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  <c r="X1966" s="2"/>
      <c r="Y1966" s="2"/>
      <c r="Z1966" s="2"/>
      <c r="AA1966" s="2"/>
    </row>
    <row r="1967" spans="1:27" s="1" customFormat="1">
      <c r="A1967"/>
      <c r="B1967"/>
      <c r="C1967"/>
      <c r="D1967"/>
      <c r="E1967"/>
      <c r="F1967"/>
      <c r="G1967"/>
      <c r="H1967"/>
      <c r="I1967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  <c r="X1967" s="2"/>
      <c r="Y1967" s="2"/>
      <c r="Z1967" s="2"/>
      <c r="AA1967" s="2"/>
    </row>
    <row r="1968" spans="1:27" s="1" customFormat="1">
      <c r="A1968"/>
      <c r="B1968"/>
      <c r="C1968"/>
      <c r="D1968"/>
      <c r="E1968"/>
      <c r="F1968"/>
      <c r="G1968"/>
      <c r="H1968"/>
      <c r="I1968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  <c r="X1968" s="2"/>
      <c r="Y1968" s="2"/>
      <c r="Z1968" s="2"/>
      <c r="AA1968" s="2"/>
    </row>
    <row r="1969" spans="1:27" s="1" customFormat="1">
      <c r="A1969"/>
      <c r="B1969"/>
      <c r="C1969"/>
      <c r="D1969"/>
      <c r="E1969"/>
      <c r="F1969"/>
      <c r="G1969"/>
      <c r="H1969"/>
      <c r="I1969"/>
      <c r="J1969" s="3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  <c r="X1969" s="2"/>
      <c r="Y1969" s="2"/>
      <c r="Z1969" s="2"/>
      <c r="AA1969" s="2"/>
    </row>
    <row r="1970" spans="1:27" s="1" customFormat="1">
      <c r="A1970"/>
      <c r="B1970"/>
      <c r="C1970"/>
      <c r="D1970"/>
      <c r="E1970"/>
      <c r="F1970"/>
      <c r="G1970"/>
      <c r="H1970"/>
      <c r="I1970"/>
      <c r="J1970" s="3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  <c r="X1970" s="2"/>
      <c r="Y1970" s="2"/>
      <c r="Z1970" s="2"/>
      <c r="AA1970" s="2"/>
    </row>
    <row r="1971" spans="1:27" s="1" customFormat="1">
      <c r="A1971"/>
      <c r="B1971"/>
      <c r="C1971"/>
      <c r="D1971"/>
      <c r="E1971"/>
      <c r="F1971"/>
      <c r="G1971"/>
      <c r="H1971"/>
      <c r="I1971"/>
      <c r="J1971" s="3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  <c r="X1971" s="2"/>
      <c r="Y1971" s="2"/>
      <c r="Z1971" s="2"/>
      <c r="AA1971" s="2"/>
    </row>
    <row r="1972" spans="1:27" s="1" customFormat="1">
      <c r="A1972"/>
      <c r="B1972"/>
      <c r="C1972"/>
      <c r="D1972"/>
      <c r="E1972"/>
      <c r="F1972"/>
      <c r="G1972"/>
      <c r="H1972"/>
      <c r="I1972"/>
      <c r="J1972" s="3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  <c r="X1972" s="2"/>
      <c r="Y1972" s="2"/>
      <c r="Z1972" s="2"/>
      <c r="AA1972" s="2"/>
    </row>
    <row r="1973" spans="1:27" s="1" customFormat="1">
      <c r="A1973"/>
      <c r="B1973"/>
      <c r="C1973"/>
      <c r="D1973"/>
      <c r="E1973"/>
      <c r="F1973"/>
      <c r="G1973"/>
      <c r="H1973"/>
      <c r="I1973"/>
      <c r="J1973" s="3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  <c r="X1973" s="2"/>
      <c r="Y1973" s="2"/>
      <c r="Z1973" s="2"/>
      <c r="AA1973" s="2"/>
    </row>
    <row r="1974" spans="1:27" s="1" customFormat="1">
      <c r="A1974"/>
      <c r="B1974"/>
      <c r="C1974"/>
      <c r="D1974"/>
      <c r="E1974"/>
      <c r="F1974"/>
      <c r="G1974"/>
      <c r="H1974"/>
      <c r="I1974"/>
      <c r="J1974" s="3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  <c r="X1974" s="2"/>
      <c r="Y1974" s="2"/>
      <c r="Z1974" s="2"/>
      <c r="AA1974" s="2"/>
    </row>
    <row r="1975" spans="1:27" s="1" customFormat="1">
      <c r="A1975"/>
      <c r="B1975"/>
      <c r="C1975"/>
      <c r="D1975"/>
      <c r="E1975"/>
      <c r="F1975"/>
      <c r="G1975"/>
      <c r="H1975"/>
      <c r="I1975"/>
      <c r="J1975" s="3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  <c r="X1975" s="2"/>
      <c r="Y1975" s="2"/>
      <c r="Z1975" s="2"/>
      <c r="AA1975" s="2"/>
    </row>
    <row r="1976" spans="1:27" s="1" customFormat="1">
      <c r="A1976"/>
      <c r="B1976"/>
      <c r="C1976"/>
      <c r="D1976"/>
      <c r="E1976"/>
      <c r="F1976"/>
      <c r="G1976"/>
      <c r="H1976"/>
      <c r="I1976"/>
      <c r="J1976" s="3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  <c r="X1976" s="2"/>
      <c r="Y1976" s="2"/>
      <c r="Z1976" s="2"/>
      <c r="AA1976" s="2"/>
    </row>
    <row r="1977" spans="1:27" s="1" customFormat="1">
      <c r="A1977"/>
      <c r="B1977"/>
      <c r="C1977"/>
      <c r="D1977"/>
      <c r="E1977"/>
      <c r="F1977"/>
      <c r="G1977"/>
      <c r="H1977"/>
      <c r="I1977"/>
      <c r="J1977" s="3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  <c r="X1977" s="2"/>
      <c r="Y1977" s="2"/>
      <c r="Z1977" s="2"/>
      <c r="AA1977" s="2"/>
    </row>
    <row r="1978" spans="1:27" s="1" customFormat="1">
      <c r="A1978"/>
      <c r="B1978"/>
      <c r="C1978"/>
      <c r="D1978"/>
      <c r="E1978"/>
      <c r="F1978"/>
      <c r="G1978"/>
      <c r="H1978"/>
      <c r="I1978"/>
      <c r="J1978" s="3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  <c r="X1978" s="2"/>
      <c r="Y1978" s="2"/>
      <c r="Z1978" s="2"/>
      <c r="AA1978" s="2"/>
    </row>
    <row r="1979" spans="1:27" s="1" customFormat="1">
      <c r="A1979"/>
      <c r="B1979"/>
      <c r="C1979"/>
      <c r="D1979"/>
      <c r="E1979"/>
      <c r="F1979"/>
      <c r="G1979"/>
      <c r="H1979"/>
      <c r="I1979"/>
      <c r="J1979" s="3"/>
      <c r="K1979" s="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2"/>
      <c r="W1979" s="12"/>
      <c r="X1979" s="2"/>
      <c r="Y1979" s="2"/>
      <c r="Z1979" s="2"/>
      <c r="AA1979" s="2"/>
    </row>
    <row r="1980" spans="1:27" s="1" customFormat="1">
      <c r="A1980"/>
      <c r="B1980"/>
      <c r="C1980"/>
      <c r="D1980"/>
      <c r="E1980"/>
      <c r="F1980"/>
      <c r="G1980"/>
      <c r="H1980"/>
      <c r="I1980"/>
      <c r="J1980" s="3"/>
      <c r="K1980" s="2"/>
      <c r="L1980" s="14"/>
      <c r="M1980" s="14"/>
      <c r="N1980" s="14"/>
      <c r="O1980" s="12"/>
      <c r="P1980" s="12"/>
      <c r="Q1980" s="12"/>
      <c r="R1980" s="14"/>
      <c r="S1980" s="14"/>
      <c r="T1980" s="12"/>
      <c r="U1980" s="2"/>
      <c r="V1980" s="12"/>
      <c r="W1980" s="2"/>
      <c r="X1980" s="2"/>
      <c r="Y1980" s="2"/>
      <c r="Z1980" s="2"/>
      <c r="AA1980" s="2"/>
    </row>
    <row r="1981" spans="1:27" s="1" customFormat="1">
      <c r="A1981"/>
      <c r="B1981"/>
      <c r="C1981"/>
      <c r="D1981"/>
      <c r="E1981"/>
      <c r="F1981"/>
      <c r="G1981"/>
      <c r="H1981"/>
      <c r="I1981"/>
      <c r="J1981" s="3"/>
      <c r="K1981" s="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3"/>
      <c r="V1981" s="13"/>
      <c r="W1981" s="12"/>
      <c r="X1981" s="2"/>
      <c r="Y1981" s="2"/>
      <c r="Z1981" s="2"/>
      <c r="AA1981" s="2"/>
    </row>
    <row r="1982" spans="1:27" s="1" customFormat="1">
      <c r="A1982"/>
      <c r="B1982"/>
      <c r="C1982"/>
      <c r="D1982"/>
      <c r="E1982"/>
      <c r="F1982"/>
      <c r="G1982"/>
      <c r="H1982"/>
      <c r="I1982"/>
      <c r="J1982" s="3"/>
      <c r="K1982" s="2"/>
      <c r="L1982" s="10"/>
      <c r="M1982" s="10"/>
      <c r="N1982" s="9"/>
      <c r="O1982" s="6"/>
      <c r="P1982" s="8"/>
      <c r="Q1982" s="6"/>
      <c r="R1982" s="8"/>
      <c r="S1982" s="6"/>
      <c r="T1982" s="8"/>
      <c r="U1982" s="7"/>
      <c r="V1982" s="7"/>
      <c r="W1982" s="6"/>
      <c r="X1982" s="2"/>
      <c r="Y1982" s="2"/>
      <c r="Z1982" s="2"/>
      <c r="AA1982" s="2"/>
    </row>
    <row r="1983" spans="1:27" s="1" customFormat="1">
      <c r="A1983"/>
      <c r="B1983"/>
      <c r="C1983"/>
      <c r="D1983"/>
      <c r="E1983"/>
      <c r="F1983"/>
      <c r="G1983"/>
      <c r="H1983"/>
      <c r="I1983"/>
      <c r="J1983" s="3"/>
      <c r="K1983" s="11"/>
      <c r="L1983" s="10"/>
      <c r="M1983" s="10"/>
      <c r="N1983" s="9"/>
      <c r="O1983" s="6"/>
      <c r="P1983" s="8"/>
      <c r="Q1983" s="6"/>
      <c r="R1983" s="8"/>
      <c r="S1983" s="6"/>
      <c r="T1983" s="8"/>
      <c r="U1983" s="7"/>
      <c r="V1983" s="7"/>
      <c r="W1983" s="6"/>
      <c r="X1983" s="2"/>
      <c r="Y1983" s="2"/>
      <c r="Z1983" s="2"/>
      <c r="AA1983" s="2"/>
    </row>
    <row r="1984" spans="1:27" s="1" customFormat="1">
      <c r="A1984"/>
      <c r="B1984"/>
      <c r="C1984"/>
      <c r="D1984"/>
      <c r="E1984"/>
      <c r="F1984"/>
      <c r="G1984"/>
      <c r="H1984"/>
      <c r="I1984"/>
      <c r="J1984" s="3"/>
      <c r="K1984" s="2"/>
      <c r="L1984" s="10"/>
      <c r="M1984" s="10"/>
      <c r="N1984" s="9"/>
      <c r="O1984" s="6"/>
      <c r="P1984" s="8"/>
      <c r="Q1984" s="6"/>
      <c r="R1984" s="8"/>
      <c r="S1984" s="6"/>
      <c r="T1984" s="8"/>
      <c r="U1984" s="7"/>
      <c r="V1984" s="7"/>
      <c r="W1984" s="6"/>
      <c r="X1984" s="2"/>
      <c r="Y1984" s="2"/>
      <c r="Z1984" s="2"/>
      <c r="AA1984" s="2"/>
    </row>
    <row r="1985" spans="1:27" s="1" customFormat="1">
      <c r="A1985"/>
      <c r="B1985"/>
      <c r="C1985"/>
      <c r="D1985"/>
      <c r="E1985"/>
      <c r="F1985"/>
      <c r="G1985"/>
      <c r="H1985"/>
      <c r="I1985"/>
      <c r="K1985" s="2"/>
      <c r="L1985" s="10"/>
      <c r="M1985" s="10"/>
      <c r="N1985" s="9"/>
      <c r="O1985" s="6"/>
      <c r="P1985" s="8"/>
      <c r="Q1985" s="6"/>
      <c r="R1985" s="8"/>
      <c r="S1985" s="6"/>
      <c r="T1985" s="8"/>
      <c r="U1985" s="7"/>
      <c r="V1985" s="7"/>
      <c r="W1985" s="6"/>
      <c r="X1985" s="2"/>
      <c r="Y1985" s="2"/>
      <c r="Z1985" s="2"/>
      <c r="AA1985" s="2"/>
    </row>
    <row r="1986" spans="1:27" s="1" customFormat="1">
      <c r="A1986"/>
      <c r="B1986"/>
      <c r="C1986"/>
      <c r="D1986"/>
      <c r="E1986"/>
      <c r="F1986"/>
      <c r="G1986"/>
      <c r="H1986"/>
      <c r="I1986"/>
      <c r="K1986" s="2"/>
      <c r="L1986" s="2"/>
      <c r="M1986" s="2"/>
      <c r="N1986" s="2"/>
      <c r="O1986" s="6"/>
      <c r="P1986" s="8"/>
      <c r="Q1986" s="6"/>
      <c r="R1986" s="8"/>
      <c r="S1986" s="6"/>
      <c r="T1986" s="8"/>
      <c r="U1986" s="7"/>
      <c r="V1986" s="7"/>
      <c r="W1986" s="6"/>
      <c r="X1986" s="2"/>
      <c r="Y1986" s="2"/>
      <c r="Z1986" s="2"/>
      <c r="AA1986" s="2"/>
    </row>
    <row r="1987" spans="1:27" s="1" customFormat="1">
      <c r="A1987"/>
      <c r="B1987"/>
      <c r="C1987"/>
      <c r="D1987"/>
      <c r="E1987"/>
      <c r="F1987"/>
      <c r="G1987"/>
      <c r="H1987"/>
      <c r="I1987"/>
      <c r="K1987" s="2"/>
      <c r="L1987" s="2"/>
      <c r="M1987" s="2"/>
      <c r="N1987" s="2"/>
      <c r="O1987" s="5"/>
      <c r="P1987" s="4"/>
      <c r="Q1987" s="2"/>
      <c r="R1987" s="2"/>
      <c r="S1987" s="2"/>
      <c r="T1987" s="2"/>
      <c r="U1987" s="2"/>
      <c r="V1987" s="2"/>
      <c r="W1987" s="2"/>
      <c r="X1987" s="2"/>
      <c r="Y1987" s="2"/>
      <c r="Z1987" s="2"/>
      <c r="AA1987" s="2"/>
    </row>
    <row r="1988" spans="1:27" s="1" customFormat="1">
      <c r="A1988"/>
      <c r="B1988"/>
      <c r="C1988"/>
      <c r="D1988"/>
      <c r="E1988"/>
      <c r="F1988"/>
      <c r="G1988"/>
      <c r="H1988"/>
      <c r="I1988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  <c r="X1988" s="2"/>
      <c r="Y1988" s="2"/>
      <c r="Z1988" s="2"/>
      <c r="AA1988" s="2"/>
    </row>
    <row r="1989" spans="1:27" s="1" customFormat="1">
      <c r="A1989"/>
      <c r="B1989"/>
      <c r="C1989"/>
      <c r="D1989"/>
      <c r="E1989"/>
      <c r="F1989"/>
      <c r="G1989"/>
      <c r="H1989"/>
      <c r="I1989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  <c r="X1989" s="2"/>
      <c r="Y1989" s="2"/>
      <c r="Z1989" s="2"/>
      <c r="AA1989" s="2"/>
    </row>
    <row r="1990" spans="1:27" s="1" customFormat="1">
      <c r="A1990"/>
      <c r="B1990"/>
      <c r="C1990"/>
      <c r="D1990"/>
      <c r="E1990"/>
      <c r="F1990"/>
      <c r="G1990"/>
      <c r="H1990"/>
      <c r="I1990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  <c r="X1990" s="2"/>
      <c r="Y1990" s="2"/>
      <c r="Z1990" s="2"/>
      <c r="AA1990" s="2"/>
    </row>
    <row r="1991" spans="1:27" s="1" customFormat="1">
      <c r="A1991"/>
      <c r="B1991"/>
      <c r="C1991"/>
      <c r="D1991"/>
      <c r="E1991"/>
      <c r="F1991"/>
      <c r="G1991"/>
      <c r="H1991"/>
      <c r="I1991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  <c r="X1991" s="2"/>
      <c r="Y1991" s="2"/>
      <c r="Z1991" s="2"/>
      <c r="AA1991" s="2"/>
    </row>
    <row r="1992" spans="1:27" s="1" customFormat="1">
      <c r="A1992"/>
      <c r="B1992"/>
      <c r="C1992"/>
      <c r="D1992"/>
      <c r="E1992"/>
      <c r="F1992"/>
      <c r="G1992"/>
      <c r="H1992"/>
      <c r="I199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  <c r="X1992" s="2"/>
      <c r="Y1992" s="2"/>
      <c r="Z1992" s="2"/>
      <c r="AA1992" s="2"/>
    </row>
    <row r="1993" spans="1:27" s="1" customFormat="1">
      <c r="A1993"/>
      <c r="B1993"/>
      <c r="C1993"/>
      <c r="D1993"/>
      <c r="E1993"/>
      <c r="F1993"/>
      <c r="G1993"/>
      <c r="H1993"/>
      <c r="I1993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  <c r="X1993" s="2"/>
      <c r="Y1993" s="2"/>
      <c r="Z1993" s="2"/>
      <c r="AA1993" s="2"/>
    </row>
    <row r="1994" spans="1:27" s="1" customFormat="1">
      <c r="A1994"/>
      <c r="B1994"/>
      <c r="C1994"/>
      <c r="D1994"/>
      <c r="E1994"/>
      <c r="F1994"/>
      <c r="G1994"/>
      <c r="H1994"/>
      <c r="I1994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  <c r="X1994" s="2"/>
      <c r="Y1994" s="2"/>
      <c r="Z1994" s="2"/>
      <c r="AA1994" s="2"/>
    </row>
    <row r="1995" spans="1:27" s="1" customFormat="1">
      <c r="A1995"/>
      <c r="B1995"/>
      <c r="C1995"/>
      <c r="D1995"/>
      <c r="E1995"/>
      <c r="F1995"/>
      <c r="G1995"/>
      <c r="H1995"/>
      <c r="I1995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  <c r="X1995" s="2"/>
      <c r="Y1995" s="2"/>
      <c r="Z1995" s="2"/>
      <c r="AA1995" s="2"/>
    </row>
    <row r="1996" spans="1:27" s="1" customFormat="1">
      <c r="A1996"/>
      <c r="B1996"/>
      <c r="C1996"/>
      <c r="D1996"/>
      <c r="E1996"/>
      <c r="F1996"/>
      <c r="G1996"/>
      <c r="H1996"/>
      <c r="I1996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  <c r="X1996" s="2"/>
      <c r="Y1996" s="2"/>
      <c r="Z1996" s="2"/>
      <c r="AA1996" s="2"/>
    </row>
    <row r="1997" spans="1:27" s="1" customFormat="1">
      <c r="A1997"/>
      <c r="B1997"/>
      <c r="C1997"/>
      <c r="D1997"/>
      <c r="E1997"/>
      <c r="F1997"/>
      <c r="G1997"/>
      <c r="H1997"/>
      <c r="I1997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  <c r="X1997" s="2"/>
      <c r="Y1997" s="2"/>
      <c r="Z1997" s="2"/>
      <c r="AA1997" s="2"/>
    </row>
    <row r="1998" spans="1:27" s="1" customFormat="1">
      <c r="A1998"/>
      <c r="B1998"/>
      <c r="C1998"/>
      <c r="D1998"/>
      <c r="E1998"/>
      <c r="F1998"/>
      <c r="G1998"/>
      <c r="H1998"/>
      <c r="I1998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  <c r="X1998" s="2"/>
      <c r="Y1998" s="2"/>
      <c r="Z1998" s="2"/>
      <c r="AA1998" s="2"/>
    </row>
    <row r="1999" spans="1:27" s="1" customFormat="1">
      <c r="A1999"/>
      <c r="B1999"/>
      <c r="C1999"/>
      <c r="D1999"/>
      <c r="E1999"/>
      <c r="F1999"/>
      <c r="G1999"/>
      <c r="H1999"/>
      <c r="I1999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  <c r="X1999" s="2"/>
      <c r="Y1999" s="2"/>
      <c r="Z1999" s="2"/>
      <c r="AA1999" s="2"/>
    </row>
    <row r="2000" spans="1:27" s="1" customFormat="1">
      <c r="A2000"/>
      <c r="B2000"/>
      <c r="C2000"/>
      <c r="D2000"/>
      <c r="E2000"/>
      <c r="F2000"/>
      <c r="G2000"/>
      <c r="H2000"/>
      <c r="I2000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  <c r="X2000" s="2"/>
      <c r="Y2000" s="2"/>
      <c r="Z2000" s="2"/>
      <c r="AA2000" s="2"/>
    </row>
    <row r="2001" spans="1:27" s="1" customFormat="1">
      <c r="A2001"/>
      <c r="B2001"/>
      <c r="C2001"/>
      <c r="D2001"/>
      <c r="E2001"/>
      <c r="F2001"/>
      <c r="G2001"/>
      <c r="H2001"/>
      <c r="I2001"/>
      <c r="J2001" s="3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  <c r="X2001" s="2"/>
      <c r="Y2001" s="2"/>
      <c r="Z2001" s="2"/>
      <c r="AA2001" s="2"/>
    </row>
    <row r="2002" spans="1:27" s="1" customFormat="1">
      <c r="A2002"/>
      <c r="B2002"/>
      <c r="C2002"/>
      <c r="D2002"/>
      <c r="E2002"/>
      <c r="F2002"/>
      <c r="G2002"/>
      <c r="H2002"/>
      <c r="I2002"/>
      <c r="J2002" s="3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  <c r="X2002" s="2"/>
      <c r="Y2002" s="2"/>
      <c r="Z2002" s="2"/>
      <c r="AA2002" s="2"/>
    </row>
    <row r="2003" spans="1:27" s="1" customFormat="1">
      <c r="A2003"/>
      <c r="B2003"/>
      <c r="C2003"/>
      <c r="D2003"/>
      <c r="E2003"/>
      <c r="F2003"/>
      <c r="G2003"/>
      <c r="H2003"/>
      <c r="I2003"/>
      <c r="J2003" s="3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  <c r="X2003" s="2"/>
      <c r="Y2003" s="2"/>
      <c r="Z2003" s="2"/>
      <c r="AA2003" s="2"/>
    </row>
    <row r="2004" spans="1:27" s="1" customFormat="1">
      <c r="A2004"/>
      <c r="B2004"/>
      <c r="C2004"/>
      <c r="D2004"/>
      <c r="E2004"/>
      <c r="F2004"/>
      <c r="G2004"/>
      <c r="H2004"/>
      <c r="I2004"/>
      <c r="J2004" s="3"/>
      <c r="K2004" s="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2"/>
      <c r="W2004" s="12"/>
      <c r="X2004" s="2"/>
      <c r="Y2004" s="2"/>
      <c r="Z2004" s="2"/>
      <c r="AA2004" s="2"/>
    </row>
    <row r="2005" spans="1:27" s="1" customFormat="1">
      <c r="A2005"/>
      <c r="B2005"/>
      <c r="C2005"/>
      <c r="D2005"/>
      <c r="E2005"/>
      <c r="F2005"/>
      <c r="G2005"/>
      <c r="H2005"/>
      <c r="I2005"/>
      <c r="J2005" s="3"/>
      <c r="K2005" s="2"/>
      <c r="L2005" s="14"/>
      <c r="M2005" s="14"/>
      <c r="N2005" s="14"/>
      <c r="O2005" s="12"/>
      <c r="P2005" s="12"/>
      <c r="Q2005" s="12"/>
      <c r="R2005" s="14"/>
      <c r="S2005" s="14"/>
      <c r="T2005" s="12"/>
      <c r="U2005" s="2"/>
      <c r="V2005" s="12"/>
      <c r="W2005" s="2"/>
      <c r="X2005" s="2"/>
      <c r="Y2005" s="2"/>
      <c r="Z2005" s="2"/>
      <c r="AA2005" s="2"/>
    </row>
    <row r="2006" spans="1:27" s="1" customFormat="1">
      <c r="A2006"/>
      <c r="B2006"/>
      <c r="C2006"/>
      <c r="D2006"/>
      <c r="E2006"/>
      <c r="F2006"/>
      <c r="G2006"/>
      <c r="H2006"/>
      <c r="I2006"/>
      <c r="J2006" s="3"/>
      <c r="K2006" s="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3"/>
      <c r="V2006" s="13"/>
      <c r="W2006" s="12"/>
      <c r="X2006" s="2"/>
      <c r="Y2006" s="2"/>
      <c r="Z2006" s="2"/>
      <c r="AA2006" s="2"/>
    </row>
    <row r="2007" spans="1:27" s="1" customFormat="1">
      <c r="A2007"/>
      <c r="B2007"/>
      <c r="C2007"/>
      <c r="D2007"/>
      <c r="E2007"/>
      <c r="F2007"/>
      <c r="G2007"/>
      <c r="H2007"/>
      <c r="I2007"/>
      <c r="J2007" s="3"/>
      <c r="K2007" s="2"/>
      <c r="L2007" s="10"/>
      <c r="M2007" s="10"/>
      <c r="N2007" s="9"/>
      <c r="O2007" s="6"/>
      <c r="P2007" s="8"/>
      <c r="Q2007" s="6"/>
      <c r="R2007" s="8"/>
      <c r="S2007" s="6"/>
      <c r="T2007" s="8"/>
      <c r="U2007" s="7"/>
      <c r="V2007" s="7"/>
      <c r="W2007" s="6"/>
      <c r="X2007" s="2"/>
      <c r="Y2007" s="2"/>
      <c r="Z2007" s="2"/>
      <c r="AA2007" s="2"/>
    </row>
    <row r="2008" spans="1:27" s="1" customFormat="1">
      <c r="A2008"/>
      <c r="B2008"/>
      <c r="C2008"/>
      <c r="D2008"/>
      <c r="E2008"/>
      <c r="F2008"/>
      <c r="G2008"/>
      <c r="H2008"/>
      <c r="I2008"/>
      <c r="J2008" s="3"/>
      <c r="K2008" s="11"/>
      <c r="L2008" s="10"/>
      <c r="M2008" s="10"/>
      <c r="N2008" s="9"/>
      <c r="O2008" s="6"/>
      <c r="P2008" s="8"/>
      <c r="Q2008" s="6"/>
      <c r="R2008" s="8"/>
      <c r="S2008" s="6"/>
      <c r="T2008" s="8"/>
      <c r="U2008" s="7"/>
      <c r="V2008" s="7"/>
      <c r="W2008" s="6"/>
      <c r="X2008" s="2"/>
      <c r="Y2008" s="2"/>
      <c r="Z2008" s="2"/>
      <c r="AA2008" s="2"/>
    </row>
    <row r="2009" spans="1:27" s="1" customFormat="1">
      <c r="A2009"/>
      <c r="B2009"/>
      <c r="C2009"/>
      <c r="D2009"/>
      <c r="E2009"/>
      <c r="F2009"/>
      <c r="G2009"/>
      <c r="H2009"/>
      <c r="I2009"/>
      <c r="J2009" s="3"/>
      <c r="K2009" s="2"/>
      <c r="L2009" s="10"/>
      <c r="M2009" s="10"/>
      <c r="N2009" s="9"/>
      <c r="O2009" s="6"/>
      <c r="P2009" s="8"/>
      <c r="Q2009" s="6"/>
      <c r="R2009" s="8"/>
      <c r="S2009" s="6"/>
      <c r="T2009" s="8"/>
      <c r="U2009" s="7"/>
      <c r="V2009" s="7"/>
      <c r="W2009" s="6"/>
      <c r="X2009" s="2"/>
      <c r="Y2009" s="2"/>
      <c r="Z2009" s="2"/>
      <c r="AA2009" s="2"/>
    </row>
    <row r="2010" spans="1:27" s="1" customFormat="1">
      <c r="A2010"/>
      <c r="B2010"/>
      <c r="C2010"/>
      <c r="D2010"/>
      <c r="E2010"/>
      <c r="F2010"/>
      <c r="G2010"/>
      <c r="H2010"/>
      <c r="I2010"/>
      <c r="J2010" s="3"/>
      <c r="K2010" s="2"/>
      <c r="L2010" s="10"/>
      <c r="M2010" s="10"/>
      <c r="N2010" s="9"/>
      <c r="O2010" s="6"/>
      <c r="P2010" s="8"/>
      <c r="Q2010" s="6"/>
      <c r="R2010" s="8"/>
      <c r="S2010" s="6"/>
      <c r="T2010" s="8"/>
      <c r="U2010" s="7"/>
      <c r="V2010" s="7"/>
      <c r="W2010" s="6"/>
      <c r="X2010" s="2"/>
      <c r="Y2010" s="2"/>
      <c r="Z2010" s="2"/>
      <c r="AA2010" s="2"/>
    </row>
    <row r="2011" spans="1:27" s="1" customFormat="1">
      <c r="A2011"/>
      <c r="B2011"/>
      <c r="C2011"/>
      <c r="D2011"/>
      <c r="E2011"/>
      <c r="F2011"/>
      <c r="G2011"/>
      <c r="H2011"/>
      <c r="I2011"/>
      <c r="J2011" s="3"/>
      <c r="K2011" s="2"/>
      <c r="L2011" s="2"/>
      <c r="M2011" s="2"/>
      <c r="N2011" s="2"/>
      <c r="O2011" s="6"/>
      <c r="P2011" s="8"/>
      <c r="Q2011" s="6"/>
      <c r="R2011" s="8"/>
      <c r="S2011" s="6"/>
      <c r="T2011" s="8"/>
      <c r="U2011" s="7"/>
      <c r="V2011" s="7"/>
      <c r="W2011" s="6"/>
      <c r="X2011" s="2"/>
      <c r="Y2011" s="2"/>
      <c r="Z2011" s="2"/>
      <c r="AA2011" s="2"/>
    </row>
    <row r="2012" spans="1:27" s="1" customFormat="1">
      <c r="A2012"/>
      <c r="B2012"/>
      <c r="C2012"/>
      <c r="D2012"/>
      <c r="E2012"/>
      <c r="F2012"/>
      <c r="G2012"/>
      <c r="H2012"/>
      <c r="I2012"/>
      <c r="J2012" s="3"/>
      <c r="K2012" s="2"/>
      <c r="L2012" s="2"/>
      <c r="M2012" s="2"/>
      <c r="N2012" s="2"/>
      <c r="O2012" s="5"/>
      <c r="P2012" s="4"/>
      <c r="Q2012" s="2"/>
      <c r="R2012" s="2"/>
      <c r="S2012" s="2"/>
      <c r="T2012" s="2"/>
      <c r="U2012" s="2"/>
      <c r="V2012" s="2"/>
      <c r="W2012" s="2"/>
      <c r="X2012" s="2"/>
      <c r="Y2012" s="2"/>
      <c r="Z2012" s="2"/>
      <c r="AA2012" s="2"/>
    </row>
    <row r="2013" spans="1:27" s="1" customFormat="1">
      <c r="A2013"/>
      <c r="B2013"/>
      <c r="C2013"/>
      <c r="D2013"/>
      <c r="E2013"/>
      <c r="F2013"/>
      <c r="G2013"/>
      <c r="H2013"/>
      <c r="I2013"/>
      <c r="J2013" s="3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  <c r="X2013" s="2"/>
      <c r="Y2013" s="2"/>
      <c r="Z2013" s="2"/>
      <c r="AA2013" s="2"/>
    </row>
    <row r="2014" spans="1:27" s="1" customFormat="1">
      <c r="A2014"/>
      <c r="B2014"/>
      <c r="C2014"/>
      <c r="D2014"/>
      <c r="E2014"/>
      <c r="F2014"/>
      <c r="G2014"/>
      <c r="H2014"/>
      <c r="I2014"/>
      <c r="J2014" s="3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  <c r="X2014" s="2"/>
      <c r="Y2014" s="2"/>
      <c r="Z2014" s="2"/>
      <c r="AA2014" s="2"/>
    </row>
    <row r="2015" spans="1:27" s="1" customFormat="1">
      <c r="A2015"/>
      <c r="B2015"/>
      <c r="C2015"/>
      <c r="D2015"/>
      <c r="E2015"/>
      <c r="F2015"/>
      <c r="G2015"/>
      <c r="H2015"/>
      <c r="I2015"/>
      <c r="J2015" s="3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  <c r="X2015" s="2"/>
      <c r="Y2015" s="2"/>
      <c r="Z2015" s="2"/>
      <c r="AA2015" s="2"/>
    </row>
    <row r="2016" spans="1:27" s="1" customFormat="1">
      <c r="A2016"/>
      <c r="B2016"/>
      <c r="C2016"/>
      <c r="D2016"/>
      <c r="E2016"/>
      <c r="F2016"/>
      <c r="G2016"/>
      <c r="H2016"/>
      <c r="I2016"/>
      <c r="J2016" s="3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  <c r="X2016" s="2"/>
      <c r="Y2016" s="2"/>
      <c r="Z2016" s="2"/>
      <c r="AA2016" s="2"/>
    </row>
    <row r="2017" spans="1:27" s="1" customFormat="1">
      <c r="A2017"/>
      <c r="B2017"/>
      <c r="C2017"/>
      <c r="D2017"/>
      <c r="E2017"/>
      <c r="F2017"/>
      <c r="G2017"/>
      <c r="H2017"/>
      <c r="I2017"/>
      <c r="J2017" s="3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  <c r="X2017" s="2"/>
      <c r="Y2017" s="2"/>
      <c r="Z2017" s="2"/>
      <c r="AA2017" s="2"/>
    </row>
    <row r="2018" spans="1:27" s="1" customFormat="1">
      <c r="A2018"/>
      <c r="B2018"/>
      <c r="C2018"/>
      <c r="D2018"/>
      <c r="E2018"/>
      <c r="F2018"/>
      <c r="G2018"/>
      <c r="H2018"/>
      <c r="I2018"/>
      <c r="J2018" s="3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  <c r="X2018" s="2"/>
      <c r="Y2018" s="2"/>
      <c r="Z2018" s="2"/>
      <c r="AA2018" s="2"/>
    </row>
    <row r="2019" spans="1:27" s="1" customFormat="1">
      <c r="A2019"/>
      <c r="B2019"/>
      <c r="C2019"/>
      <c r="D2019"/>
      <c r="E2019"/>
      <c r="F2019"/>
      <c r="G2019"/>
      <c r="H2019"/>
      <c r="I2019"/>
      <c r="J2019" s="3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  <c r="X2019" s="2"/>
      <c r="Y2019" s="2"/>
      <c r="Z2019" s="2"/>
      <c r="AA2019" s="2"/>
    </row>
    <row r="2020" spans="1:27" s="1" customFormat="1">
      <c r="A2020"/>
      <c r="B2020"/>
      <c r="C2020"/>
      <c r="D2020"/>
      <c r="E2020"/>
      <c r="F2020"/>
      <c r="G2020"/>
      <c r="H2020"/>
      <c r="I2020"/>
      <c r="J2020" s="3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  <c r="X2020" s="2"/>
      <c r="Y2020" s="2"/>
      <c r="Z2020" s="2"/>
      <c r="AA2020" s="2"/>
    </row>
    <row r="2021" spans="1:27" s="1" customFormat="1">
      <c r="A2021"/>
      <c r="B2021"/>
      <c r="C2021"/>
      <c r="D2021"/>
      <c r="E2021"/>
      <c r="F2021"/>
      <c r="G2021"/>
      <c r="H2021"/>
      <c r="I2021"/>
      <c r="J2021" s="3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  <c r="X2021" s="2"/>
      <c r="Y2021" s="2"/>
      <c r="Z2021" s="2"/>
      <c r="AA2021" s="2"/>
    </row>
    <row r="2022" spans="1:27" s="1" customFormat="1">
      <c r="A2022"/>
      <c r="B2022"/>
      <c r="C2022"/>
      <c r="D2022"/>
      <c r="E2022"/>
      <c r="F2022"/>
      <c r="G2022"/>
      <c r="H2022"/>
      <c r="I2022"/>
      <c r="J2022" s="3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  <c r="X2022" s="2"/>
      <c r="Y2022" s="2"/>
      <c r="Z2022" s="2"/>
      <c r="AA2022" s="2"/>
    </row>
    <row r="2023" spans="1:27" s="1" customFormat="1">
      <c r="A2023"/>
      <c r="B2023"/>
      <c r="C2023"/>
      <c r="D2023"/>
      <c r="E2023"/>
      <c r="F2023"/>
      <c r="G2023"/>
      <c r="H2023"/>
      <c r="I2023"/>
      <c r="J2023" s="3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  <c r="X2023" s="2"/>
      <c r="Y2023" s="2"/>
      <c r="Z2023" s="2"/>
      <c r="AA2023" s="2"/>
    </row>
    <row r="2024" spans="1:27" s="1" customFormat="1">
      <c r="A2024"/>
      <c r="B2024"/>
      <c r="C2024"/>
      <c r="D2024"/>
      <c r="E2024"/>
      <c r="F2024"/>
      <c r="G2024"/>
      <c r="H2024"/>
      <c r="I2024"/>
      <c r="J2024" s="3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  <c r="X2024" s="2"/>
      <c r="Y2024" s="2"/>
      <c r="Z2024" s="2"/>
      <c r="AA2024" s="2"/>
    </row>
    <row r="2025" spans="1:27" s="1" customFormat="1">
      <c r="A2025"/>
      <c r="B2025"/>
      <c r="C2025"/>
      <c r="D2025"/>
      <c r="E2025"/>
      <c r="F2025"/>
      <c r="G2025"/>
      <c r="H2025"/>
      <c r="I2025"/>
      <c r="J2025" s="3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  <c r="X2025" s="2"/>
      <c r="Y2025" s="2"/>
      <c r="Z2025" s="2"/>
      <c r="AA2025" s="2"/>
    </row>
    <row r="2026" spans="1:27" s="1" customFormat="1">
      <c r="A2026"/>
      <c r="B2026"/>
      <c r="C2026"/>
      <c r="D2026"/>
      <c r="E2026"/>
      <c r="F2026"/>
      <c r="G2026"/>
      <c r="H2026"/>
      <c r="I2026"/>
      <c r="J2026" s="3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  <c r="X2026" s="2"/>
      <c r="Y2026" s="2"/>
      <c r="Z2026" s="2"/>
      <c r="AA2026" s="2"/>
    </row>
    <row r="2027" spans="1:27" s="1" customFormat="1">
      <c r="A2027"/>
      <c r="B2027"/>
      <c r="C2027"/>
      <c r="D2027"/>
      <c r="E2027"/>
      <c r="F2027"/>
      <c r="G2027"/>
      <c r="H2027"/>
      <c r="I2027"/>
      <c r="J2027" s="3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  <c r="X2027" s="2"/>
      <c r="Y2027" s="2"/>
      <c r="Z2027" s="2"/>
      <c r="AA2027" s="2"/>
    </row>
    <row r="2028" spans="1:27" s="1" customFormat="1">
      <c r="A2028"/>
      <c r="B2028"/>
      <c r="C2028"/>
      <c r="D2028"/>
      <c r="E2028"/>
      <c r="F2028"/>
      <c r="G2028"/>
      <c r="H2028"/>
      <c r="I2028"/>
      <c r="J2028" s="3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  <c r="X2028" s="2"/>
      <c r="Y2028" s="2"/>
      <c r="Z2028" s="2"/>
      <c r="AA2028" s="2"/>
    </row>
    <row r="2029" spans="1:27" s="1" customFormat="1">
      <c r="A2029"/>
      <c r="B2029"/>
      <c r="C2029"/>
      <c r="D2029"/>
      <c r="E2029"/>
      <c r="F2029"/>
      <c r="G2029"/>
      <c r="H2029"/>
      <c r="I2029"/>
      <c r="J2029" s="3"/>
      <c r="K2029" s="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2"/>
      <c r="W2029" s="12"/>
      <c r="X2029" s="2"/>
      <c r="Y2029" s="2"/>
      <c r="Z2029" s="2"/>
      <c r="AA2029" s="2"/>
    </row>
    <row r="2030" spans="1:27" s="1" customFormat="1">
      <c r="A2030"/>
      <c r="B2030"/>
      <c r="C2030"/>
      <c r="D2030"/>
      <c r="E2030"/>
      <c r="F2030"/>
      <c r="G2030"/>
      <c r="H2030"/>
      <c r="I2030"/>
      <c r="J2030" s="3"/>
      <c r="K2030" s="2"/>
      <c r="L2030" s="14"/>
      <c r="M2030" s="14"/>
      <c r="N2030" s="14"/>
      <c r="O2030" s="12"/>
      <c r="P2030" s="12"/>
      <c r="Q2030" s="12"/>
      <c r="R2030" s="14"/>
      <c r="S2030" s="14"/>
      <c r="T2030" s="12"/>
      <c r="U2030" s="2"/>
      <c r="V2030" s="12"/>
      <c r="W2030" s="2"/>
      <c r="X2030" s="2"/>
      <c r="Y2030" s="2"/>
      <c r="Z2030" s="2"/>
      <c r="AA2030" s="2"/>
    </row>
    <row r="2031" spans="1:27" s="1" customFormat="1">
      <c r="A2031"/>
      <c r="B2031"/>
      <c r="C2031"/>
      <c r="D2031"/>
      <c r="E2031"/>
      <c r="F2031"/>
      <c r="G2031"/>
      <c r="H2031"/>
      <c r="I2031"/>
      <c r="J2031" s="3"/>
      <c r="K2031" s="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3"/>
      <c r="V2031" s="13"/>
      <c r="W2031" s="12"/>
      <c r="X2031" s="2"/>
      <c r="Y2031" s="2"/>
      <c r="Z2031" s="2"/>
      <c r="AA2031" s="2"/>
    </row>
    <row r="2032" spans="1:27" s="1" customFormat="1">
      <c r="A2032"/>
      <c r="B2032"/>
      <c r="C2032"/>
      <c r="D2032"/>
      <c r="E2032"/>
      <c r="F2032"/>
      <c r="G2032"/>
      <c r="H2032"/>
      <c r="I2032"/>
      <c r="J2032" s="3"/>
      <c r="K2032" s="2"/>
      <c r="L2032" s="10"/>
      <c r="M2032" s="10"/>
      <c r="N2032" s="9"/>
      <c r="O2032" s="6"/>
      <c r="P2032" s="8"/>
      <c r="Q2032" s="6"/>
      <c r="R2032" s="8"/>
      <c r="S2032" s="6"/>
      <c r="T2032" s="8"/>
      <c r="U2032" s="7"/>
      <c r="V2032" s="7"/>
      <c r="W2032" s="6"/>
      <c r="X2032" s="2"/>
      <c r="Y2032" s="2"/>
      <c r="Z2032" s="2"/>
      <c r="AA2032" s="2"/>
    </row>
    <row r="2033" spans="1:27" s="1" customFormat="1">
      <c r="A2033"/>
      <c r="B2033"/>
      <c r="C2033"/>
      <c r="D2033"/>
      <c r="E2033"/>
      <c r="F2033"/>
      <c r="G2033"/>
      <c r="H2033"/>
      <c r="I2033"/>
      <c r="K2033" s="11"/>
      <c r="L2033" s="10"/>
      <c r="M2033" s="10"/>
      <c r="N2033" s="9"/>
      <c r="O2033" s="6"/>
      <c r="P2033" s="8"/>
      <c r="Q2033" s="6"/>
      <c r="R2033" s="8"/>
      <c r="S2033" s="6"/>
      <c r="T2033" s="8"/>
      <c r="U2033" s="7"/>
      <c r="V2033" s="7"/>
      <c r="W2033" s="6"/>
      <c r="X2033" s="2"/>
      <c r="Y2033" s="2"/>
      <c r="Z2033" s="2"/>
      <c r="AA2033" s="2"/>
    </row>
    <row r="2034" spans="1:27" s="1" customFormat="1">
      <c r="A2034"/>
      <c r="B2034"/>
      <c r="C2034"/>
      <c r="D2034"/>
      <c r="E2034"/>
      <c r="F2034"/>
      <c r="G2034"/>
      <c r="H2034"/>
      <c r="I2034"/>
      <c r="K2034" s="2"/>
      <c r="L2034" s="10"/>
      <c r="M2034" s="10"/>
      <c r="N2034" s="9"/>
      <c r="O2034" s="6"/>
      <c r="P2034" s="8"/>
      <c r="Q2034" s="6"/>
      <c r="R2034" s="8"/>
      <c r="S2034" s="6"/>
      <c r="T2034" s="8"/>
      <c r="U2034" s="7"/>
      <c r="V2034" s="7"/>
      <c r="W2034" s="6"/>
      <c r="X2034" s="2"/>
      <c r="Y2034" s="2"/>
      <c r="Z2034" s="2"/>
      <c r="AA2034" s="2"/>
    </row>
    <row r="2035" spans="1:27" s="1" customFormat="1">
      <c r="A2035"/>
      <c r="B2035"/>
      <c r="C2035"/>
      <c r="D2035"/>
      <c r="E2035"/>
      <c r="F2035"/>
      <c r="G2035"/>
      <c r="H2035"/>
      <c r="I2035"/>
      <c r="K2035" s="2"/>
      <c r="L2035" s="10"/>
      <c r="M2035" s="10"/>
      <c r="N2035" s="9"/>
      <c r="O2035" s="6"/>
      <c r="P2035" s="8"/>
      <c r="Q2035" s="6"/>
      <c r="R2035" s="8"/>
      <c r="S2035" s="6"/>
      <c r="T2035" s="8"/>
      <c r="U2035" s="7"/>
      <c r="V2035" s="7"/>
      <c r="W2035" s="6"/>
      <c r="X2035" s="2"/>
      <c r="Y2035" s="2"/>
      <c r="Z2035" s="2"/>
      <c r="AA2035" s="2"/>
    </row>
    <row r="2036" spans="1:27" s="1" customFormat="1">
      <c r="A2036"/>
      <c r="B2036"/>
      <c r="C2036"/>
      <c r="D2036"/>
      <c r="E2036"/>
      <c r="F2036"/>
      <c r="G2036"/>
      <c r="H2036"/>
      <c r="I2036"/>
      <c r="K2036" s="2"/>
      <c r="L2036" s="2"/>
      <c r="M2036" s="2"/>
      <c r="N2036" s="2"/>
      <c r="O2036" s="6"/>
      <c r="P2036" s="8"/>
      <c r="Q2036" s="6"/>
      <c r="R2036" s="8"/>
      <c r="S2036" s="6"/>
      <c r="T2036" s="8"/>
      <c r="U2036" s="7"/>
      <c r="V2036" s="7"/>
      <c r="W2036" s="6"/>
      <c r="X2036" s="2"/>
      <c r="Y2036" s="2"/>
      <c r="Z2036" s="2"/>
      <c r="AA2036" s="2"/>
    </row>
    <row r="2037" spans="1:27" s="1" customFormat="1">
      <c r="A2037"/>
      <c r="B2037"/>
      <c r="C2037"/>
      <c r="D2037"/>
      <c r="E2037"/>
      <c r="F2037"/>
      <c r="G2037"/>
      <c r="H2037"/>
      <c r="I2037"/>
      <c r="K2037" s="2"/>
      <c r="L2037" s="2"/>
      <c r="M2037" s="2"/>
      <c r="N2037" s="2"/>
      <c r="O2037" s="5"/>
      <c r="P2037" s="4"/>
      <c r="Q2037" s="2"/>
      <c r="R2037" s="2"/>
      <c r="S2037" s="2"/>
      <c r="T2037" s="2"/>
      <c r="U2037" s="2"/>
      <c r="V2037" s="2"/>
      <c r="W2037" s="2"/>
      <c r="X2037" s="2"/>
      <c r="Y2037" s="2"/>
      <c r="Z2037" s="2"/>
      <c r="AA2037" s="2"/>
    </row>
    <row r="2038" spans="1:27" s="1" customFormat="1">
      <c r="A2038"/>
      <c r="B2038"/>
      <c r="C2038"/>
      <c r="D2038"/>
      <c r="E2038"/>
      <c r="F2038"/>
      <c r="G2038"/>
      <c r="H2038"/>
      <c r="I2038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  <c r="X2038" s="2"/>
      <c r="Y2038" s="2"/>
      <c r="Z2038" s="2"/>
      <c r="AA2038" s="2"/>
    </row>
    <row r="2039" spans="1:27" s="1" customFormat="1">
      <c r="A2039"/>
      <c r="B2039"/>
      <c r="C2039"/>
      <c r="D2039"/>
      <c r="E2039"/>
      <c r="F2039"/>
      <c r="G2039"/>
      <c r="H2039"/>
      <c r="I2039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  <c r="X2039" s="2"/>
      <c r="Y2039" s="2"/>
      <c r="Z2039" s="2"/>
      <c r="AA2039" s="2"/>
    </row>
    <row r="2040" spans="1:27" s="1" customFormat="1">
      <c r="A2040"/>
      <c r="B2040"/>
      <c r="C2040"/>
      <c r="D2040"/>
      <c r="E2040"/>
      <c r="F2040"/>
      <c r="G2040"/>
      <c r="H2040"/>
      <c r="I2040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  <c r="X2040" s="2"/>
      <c r="Y2040" s="2"/>
      <c r="Z2040" s="2"/>
      <c r="AA2040" s="2"/>
    </row>
    <row r="2041" spans="1:27" s="1" customFormat="1">
      <c r="A2041"/>
      <c r="B2041"/>
      <c r="C2041"/>
      <c r="D2041"/>
      <c r="E2041"/>
      <c r="F2041"/>
      <c r="G2041"/>
      <c r="H2041"/>
      <c r="I2041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  <c r="X2041" s="2"/>
      <c r="Y2041" s="2"/>
      <c r="Z2041" s="2"/>
      <c r="AA2041" s="2"/>
    </row>
    <row r="2042" spans="1:27" s="1" customFormat="1">
      <c r="A2042"/>
      <c r="B2042"/>
      <c r="C2042"/>
      <c r="D2042"/>
      <c r="E2042"/>
      <c r="F2042"/>
      <c r="G2042"/>
      <c r="H2042"/>
      <c r="I204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  <c r="X2042" s="2"/>
      <c r="Y2042" s="2"/>
      <c r="Z2042" s="2"/>
      <c r="AA2042" s="2"/>
    </row>
    <row r="2043" spans="1:27" s="1" customFormat="1">
      <c r="A2043"/>
      <c r="B2043"/>
      <c r="C2043"/>
      <c r="D2043"/>
      <c r="E2043"/>
      <c r="F2043"/>
      <c r="G2043"/>
      <c r="H2043"/>
      <c r="I2043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  <c r="X2043" s="2"/>
      <c r="Y2043" s="2"/>
      <c r="Z2043" s="2"/>
      <c r="AA2043" s="2"/>
    </row>
    <row r="2044" spans="1:27" s="1" customFormat="1">
      <c r="A2044"/>
      <c r="B2044"/>
      <c r="C2044"/>
      <c r="D2044"/>
      <c r="E2044"/>
      <c r="F2044"/>
      <c r="G2044"/>
      <c r="H2044"/>
      <c r="I2044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  <c r="X2044" s="2"/>
      <c r="Y2044" s="2"/>
      <c r="Z2044" s="2"/>
      <c r="AA2044" s="2"/>
    </row>
    <row r="2045" spans="1:27" s="1" customFormat="1">
      <c r="A2045"/>
      <c r="B2045"/>
      <c r="C2045"/>
      <c r="D2045"/>
      <c r="E2045"/>
      <c r="F2045"/>
      <c r="G2045"/>
      <c r="H2045"/>
      <c r="I2045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  <c r="X2045" s="2"/>
      <c r="Y2045" s="2"/>
      <c r="Z2045" s="2"/>
      <c r="AA2045" s="2"/>
    </row>
    <row r="2046" spans="1:27" s="1" customFormat="1">
      <c r="A2046"/>
      <c r="B2046"/>
      <c r="C2046"/>
      <c r="D2046"/>
      <c r="E2046"/>
      <c r="F2046"/>
      <c r="G2046"/>
      <c r="H2046"/>
      <c r="I2046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  <c r="X2046" s="2"/>
      <c r="Y2046" s="2"/>
      <c r="Z2046" s="2"/>
      <c r="AA2046" s="2"/>
    </row>
    <row r="2047" spans="1:27" s="1" customFormat="1">
      <c r="A2047"/>
      <c r="B2047"/>
      <c r="C2047"/>
      <c r="D2047"/>
      <c r="E2047"/>
      <c r="F2047"/>
      <c r="G2047"/>
      <c r="H2047"/>
      <c r="I2047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  <c r="X2047" s="2"/>
      <c r="Y2047" s="2"/>
      <c r="Z2047" s="2"/>
      <c r="AA2047" s="2"/>
    </row>
    <row r="2048" spans="1:27" s="1" customFormat="1">
      <c r="A2048"/>
      <c r="B2048"/>
      <c r="C2048"/>
      <c r="D2048"/>
      <c r="E2048"/>
      <c r="F2048"/>
      <c r="G2048"/>
      <c r="H2048"/>
      <c r="I2048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  <c r="X2048" s="2"/>
      <c r="Y2048" s="2"/>
      <c r="Z2048" s="2"/>
      <c r="AA2048" s="2"/>
    </row>
    <row r="2049" spans="1:27" s="1" customFormat="1">
      <c r="A2049"/>
      <c r="B2049"/>
      <c r="C2049"/>
      <c r="D2049"/>
      <c r="E2049"/>
      <c r="F2049"/>
      <c r="G2049"/>
      <c r="H2049"/>
      <c r="I2049"/>
      <c r="J2049" s="3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  <c r="X2049" s="2"/>
      <c r="Y2049" s="2"/>
      <c r="Z2049" s="2"/>
      <c r="AA2049" s="2"/>
    </row>
    <row r="2050" spans="1:27" s="1" customFormat="1">
      <c r="A2050"/>
      <c r="B2050"/>
      <c r="C2050"/>
      <c r="D2050"/>
      <c r="E2050"/>
      <c r="F2050"/>
      <c r="G2050"/>
      <c r="H2050"/>
      <c r="I2050"/>
      <c r="J2050" s="3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  <c r="X2050" s="2"/>
      <c r="Y2050" s="2"/>
      <c r="Z2050" s="2"/>
      <c r="AA2050" s="2"/>
    </row>
    <row r="2051" spans="1:27" s="1" customFormat="1">
      <c r="A2051"/>
      <c r="B2051"/>
      <c r="C2051"/>
      <c r="D2051"/>
      <c r="E2051"/>
      <c r="F2051"/>
      <c r="G2051"/>
      <c r="H2051"/>
      <c r="I2051"/>
      <c r="J2051" s="3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  <c r="X2051" s="2"/>
      <c r="Y2051" s="2"/>
      <c r="Z2051" s="2"/>
      <c r="AA2051" s="2"/>
    </row>
    <row r="2052" spans="1:27" s="1" customFormat="1">
      <c r="A2052"/>
      <c r="B2052"/>
      <c r="C2052"/>
      <c r="D2052"/>
      <c r="E2052"/>
      <c r="F2052"/>
      <c r="G2052"/>
      <c r="H2052"/>
      <c r="I2052"/>
      <c r="J2052" s="3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  <c r="X2052" s="2"/>
      <c r="Y2052" s="2"/>
      <c r="Z2052" s="2"/>
      <c r="AA2052" s="2"/>
    </row>
    <row r="2053" spans="1:27" s="1" customFormat="1">
      <c r="A2053"/>
      <c r="B2053"/>
      <c r="C2053"/>
      <c r="D2053"/>
      <c r="E2053"/>
      <c r="F2053"/>
      <c r="G2053"/>
      <c r="H2053"/>
      <c r="I2053"/>
      <c r="J2053" s="3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  <c r="X2053" s="2"/>
      <c r="Y2053" s="2"/>
      <c r="Z2053" s="2"/>
      <c r="AA2053" s="2"/>
    </row>
    <row r="2054" spans="1:27" s="1" customFormat="1">
      <c r="A2054"/>
      <c r="B2054"/>
      <c r="C2054"/>
      <c r="D2054"/>
      <c r="E2054"/>
      <c r="F2054"/>
      <c r="G2054"/>
      <c r="H2054"/>
      <c r="I2054"/>
      <c r="J2054" s="3"/>
      <c r="K2054" s="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2"/>
      <c r="W2054" s="12"/>
      <c r="X2054" s="2"/>
      <c r="Y2054" s="2"/>
      <c r="Z2054" s="2"/>
      <c r="AA2054" s="2"/>
    </row>
    <row r="2055" spans="1:27" s="1" customFormat="1">
      <c r="A2055"/>
      <c r="B2055"/>
      <c r="C2055"/>
      <c r="D2055"/>
      <c r="E2055"/>
      <c r="F2055"/>
      <c r="G2055"/>
      <c r="H2055"/>
      <c r="I2055"/>
      <c r="J2055" s="3"/>
      <c r="K2055" s="2"/>
      <c r="L2055" s="14"/>
      <c r="M2055" s="14"/>
      <c r="N2055" s="14"/>
      <c r="O2055" s="12"/>
      <c r="P2055" s="12"/>
      <c r="Q2055" s="12"/>
      <c r="R2055" s="14"/>
      <c r="S2055" s="14"/>
      <c r="T2055" s="12"/>
      <c r="U2055" s="2"/>
      <c r="V2055" s="12"/>
      <c r="W2055" s="2"/>
      <c r="X2055" s="2"/>
      <c r="Y2055" s="2"/>
      <c r="Z2055" s="2"/>
      <c r="AA2055" s="2"/>
    </row>
    <row r="2056" spans="1:27" s="1" customFormat="1">
      <c r="A2056"/>
      <c r="B2056"/>
      <c r="C2056"/>
      <c r="D2056"/>
      <c r="E2056"/>
      <c r="F2056"/>
      <c r="G2056"/>
      <c r="H2056"/>
      <c r="I2056"/>
      <c r="J2056" s="3"/>
      <c r="K2056" s="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3"/>
      <c r="V2056" s="13"/>
      <c r="W2056" s="12"/>
      <c r="X2056" s="2"/>
      <c r="Y2056" s="2"/>
      <c r="Z2056" s="2"/>
      <c r="AA2056" s="2"/>
    </row>
    <row r="2057" spans="1:27" s="1" customFormat="1">
      <c r="A2057"/>
      <c r="B2057"/>
      <c r="C2057"/>
      <c r="D2057"/>
      <c r="E2057"/>
      <c r="F2057"/>
      <c r="G2057"/>
      <c r="H2057"/>
      <c r="I2057"/>
      <c r="J2057" s="3"/>
      <c r="K2057" s="2"/>
      <c r="L2057" s="10"/>
      <c r="M2057" s="10"/>
      <c r="N2057" s="9"/>
      <c r="O2057" s="6"/>
      <c r="P2057" s="8"/>
      <c r="Q2057" s="6"/>
      <c r="R2057" s="8"/>
      <c r="S2057" s="6"/>
      <c r="T2057" s="8"/>
      <c r="U2057" s="7"/>
      <c r="V2057" s="7"/>
      <c r="W2057" s="6"/>
      <c r="X2057" s="2"/>
      <c r="Y2057" s="2"/>
      <c r="Z2057" s="2"/>
      <c r="AA2057" s="2"/>
    </row>
    <row r="2058" spans="1:27" s="1" customFormat="1">
      <c r="A2058"/>
      <c r="B2058"/>
      <c r="C2058"/>
      <c r="D2058"/>
      <c r="E2058"/>
      <c r="F2058"/>
      <c r="G2058"/>
      <c r="H2058"/>
      <c r="I2058"/>
      <c r="J2058" s="3"/>
      <c r="K2058" s="11"/>
      <c r="L2058" s="10"/>
      <c r="M2058" s="10"/>
      <c r="N2058" s="9"/>
      <c r="O2058" s="6"/>
      <c r="P2058" s="8"/>
      <c r="Q2058" s="6"/>
      <c r="R2058" s="8"/>
      <c r="S2058" s="6"/>
      <c r="T2058" s="8"/>
      <c r="U2058" s="7"/>
      <c r="V2058" s="7"/>
      <c r="W2058" s="6"/>
      <c r="X2058" s="2"/>
      <c r="Y2058" s="2"/>
      <c r="Z2058" s="2"/>
      <c r="AA2058" s="2"/>
    </row>
    <row r="2059" spans="1:27" s="1" customFormat="1">
      <c r="A2059"/>
      <c r="B2059"/>
      <c r="C2059"/>
      <c r="D2059"/>
      <c r="E2059"/>
      <c r="F2059"/>
      <c r="G2059"/>
      <c r="H2059"/>
      <c r="I2059"/>
      <c r="J2059" s="3"/>
      <c r="K2059" s="2"/>
      <c r="L2059" s="10"/>
      <c r="M2059" s="10"/>
      <c r="N2059" s="9"/>
      <c r="O2059" s="6"/>
      <c r="P2059" s="8"/>
      <c r="Q2059" s="6"/>
      <c r="R2059" s="8"/>
      <c r="S2059" s="6"/>
      <c r="T2059" s="8"/>
      <c r="U2059" s="7"/>
      <c r="V2059" s="7"/>
      <c r="W2059" s="6"/>
      <c r="X2059" s="2"/>
      <c r="Y2059" s="2"/>
      <c r="Z2059" s="2"/>
      <c r="AA2059" s="2"/>
    </row>
    <row r="2060" spans="1:27" s="1" customFormat="1">
      <c r="A2060"/>
      <c r="B2060"/>
      <c r="C2060"/>
      <c r="D2060"/>
      <c r="E2060"/>
      <c r="F2060"/>
      <c r="G2060"/>
      <c r="H2060"/>
      <c r="I2060"/>
      <c r="J2060" s="3"/>
      <c r="K2060" s="2"/>
      <c r="L2060" s="10"/>
      <c r="M2060" s="10"/>
      <c r="N2060" s="9"/>
      <c r="O2060" s="6"/>
      <c r="P2060" s="8"/>
      <c r="Q2060" s="6"/>
      <c r="R2060" s="8"/>
      <c r="S2060" s="6"/>
      <c r="T2060" s="8"/>
      <c r="U2060" s="7"/>
      <c r="V2060" s="7"/>
      <c r="W2060" s="6"/>
      <c r="X2060" s="2"/>
      <c r="Y2060" s="2"/>
      <c r="Z2060" s="2"/>
      <c r="AA2060" s="2"/>
    </row>
    <row r="2061" spans="1:27" s="1" customFormat="1">
      <c r="A2061"/>
      <c r="B2061"/>
      <c r="C2061"/>
      <c r="D2061"/>
      <c r="E2061"/>
      <c r="F2061"/>
      <c r="G2061"/>
      <c r="H2061"/>
      <c r="I2061"/>
      <c r="J2061" s="3"/>
      <c r="K2061" s="2"/>
      <c r="L2061" s="2"/>
      <c r="M2061" s="2"/>
      <c r="N2061" s="2"/>
      <c r="O2061" s="6"/>
      <c r="P2061" s="8"/>
      <c r="Q2061" s="6"/>
      <c r="R2061" s="8"/>
      <c r="S2061" s="6"/>
      <c r="T2061" s="8"/>
      <c r="U2061" s="7"/>
      <c r="V2061" s="7"/>
      <c r="W2061" s="6"/>
      <c r="X2061" s="2"/>
      <c r="Y2061" s="2"/>
      <c r="Z2061" s="2"/>
      <c r="AA2061" s="2"/>
    </row>
    <row r="2062" spans="1:27" s="1" customFormat="1">
      <c r="A2062"/>
      <c r="B2062"/>
      <c r="C2062"/>
      <c r="D2062"/>
      <c r="E2062"/>
      <c r="F2062"/>
      <c r="G2062"/>
      <c r="H2062"/>
      <c r="I2062"/>
      <c r="J2062" s="3"/>
      <c r="K2062" s="2"/>
      <c r="L2062" s="2"/>
      <c r="M2062" s="2"/>
      <c r="N2062" s="2"/>
      <c r="O2062" s="5"/>
      <c r="P2062" s="4"/>
      <c r="Q2062" s="2"/>
      <c r="R2062" s="2"/>
      <c r="S2062" s="2"/>
      <c r="T2062" s="2"/>
      <c r="U2062" s="2"/>
      <c r="V2062" s="2"/>
      <c r="W2062" s="2"/>
      <c r="X2062" s="2"/>
      <c r="Y2062" s="2"/>
      <c r="Z2062" s="2"/>
      <c r="AA2062" s="2"/>
    </row>
    <row r="2063" spans="1:27" s="1" customFormat="1">
      <c r="A2063"/>
      <c r="B2063"/>
      <c r="C2063"/>
      <c r="D2063"/>
      <c r="E2063"/>
      <c r="F2063"/>
      <c r="G2063"/>
      <c r="H2063"/>
      <c r="I2063"/>
      <c r="J2063" s="3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  <c r="X2063" s="2"/>
      <c r="Y2063" s="2"/>
      <c r="Z2063" s="2"/>
      <c r="AA2063" s="2"/>
    </row>
    <row r="2064" spans="1:27" s="1" customFormat="1">
      <c r="A2064"/>
      <c r="B2064"/>
      <c r="C2064"/>
      <c r="D2064"/>
      <c r="E2064"/>
      <c r="F2064"/>
      <c r="G2064"/>
      <c r="H2064"/>
      <c r="I2064"/>
      <c r="J2064" s="3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  <c r="X2064" s="2"/>
      <c r="Y2064" s="2"/>
      <c r="Z2064" s="2"/>
      <c r="AA2064" s="2"/>
    </row>
    <row r="2065" spans="1:27" s="1" customFormat="1">
      <c r="A2065"/>
      <c r="B2065"/>
      <c r="C2065"/>
      <c r="D2065"/>
      <c r="E2065"/>
      <c r="F2065"/>
      <c r="G2065"/>
      <c r="H2065"/>
      <c r="I2065"/>
      <c r="J2065" s="3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  <c r="X2065" s="2"/>
      <c r="Y2065" s="2"/>
      <c r="Z2065" s="2"/>
      <c r="AA2065" s="2"/>
    </row>
    <row r="2066" spans="1:27" s="1" customFormat="1">
      <c r="A2066"/>
      <c r="B2066"/>
      <c r="C2066"/>
      <c r="D2066"/>
      <c r="E2066"/>
      <c r="F2066"/>
      <c r="G2066"/>
      <c r="H2066"/>
      <c r="I2066"/>
      <c r="J2066" s="3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  <c r="X2066" s="2"/>
      <c r="Y2066" s="2"/>
      <c r="Z2066" s="2"/>
      <c r="AA2066" s="2"/>
    </row>
    <row r="2067" spans="1:27" s="1" customFormat="1">
      <c r="A2067"/>
      <c r="B2067"/>
      <c r="C2067"/>
      <c r="D2067"/>
      <c r="E2067"/>
      <c r="F2067"/>
      <c r="G2067"/>
      <c r="H2067"/>
      <c r="I2067"/>
      <c r="J2067" s="3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  <c r="X2067" s="2"/>
      <c r="Y2067" s="2"/>
      <c r="Z2067" s="2"/>
      <c r="AA2067" s="2"/>
    </row>
    <row r="2068" spans="1:27" s="1" customFormat="1">
      <c r="A2068"/>
      <c r="B2068"/>
      <c r="C2068"/>
      <c r="D2068"/>
      <c r="E2068"/>
      <c r="F2068"/>
      <c r="G2068"/>
      <c r="H2068"/>
      <c r="I2068"/>
      <c r="J2068" s="3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  <c r="X2068" s="2"/>
      <c r="Y2068" s="2"/>
      <c r="Z2068" s="2"/>
      <c r="AA2068" s="2"/>
    </row>
    <row r="2069" spans="1:27" s="1" customFormat="1">
      <c r="A2069"/>
      <c r="B2069"/>
      <c r="C2069"/>
      <c r="D2069"/>
      <c r="E2069"/>
      <c r="F2069"/>
      <c r="G2069"/>
      <c r="H2069"/>
      <c r="I2069"/>
      <c r="J2069" s="3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  <c r="X2069" s="2"/>
      <c r="Y2069" s="2"/>
      <c r="Z2069" s="2"/>
      <c r="AA2069" s="2"/>
    </row>
    <row r="2070" spans="1:27" s="1" customFormat="1">
      <c r="A2070"/>
      <c r="B2070"/>
      <c r="C2070"/>
      <c r="D2070"/>
      <c r="E2070"/>
      <c r="F2070"/>
      <c r="G2070"/>
      <c r="H2070"/>
      <c r="I2070"/>
      <c r="J2070" s="3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  <c r="X2070" s="2"/>
      <c r="Y2070" s="2"/>
      <c r="Z2070" s="2"/>
      <c r="AA2070" s="2"/>
    </row>
    <row r="2071" spans="1:27" s="1" customFormat="1">
      <c r="A2071"/>
      <c r="B2071"/>
      <c r="C2071"/>
      <c r="D2071"/>
      <c r="E2071"/>
      <c r="F2071"/>
      <c r="G2071"/>
      <c r="H2071"/>
      <c r="I2071"/>
      <c r="J2071" s="3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  <c r="X2071" s="2"/>
      <c r="Y2071" s="2"/>
      <c r="Z2071" s="2"/>
      <c r="AA2071" s="2"/>
    </row>
    <row r="2072" spans="1:27" s="1" customFormat="1">
      <c r="A2072"/>
      <c r="B2072"/>
      <c r="C2072"/>
      <c r="D2072"/>
      <c r="E2072"/>
      <c r="F2072"/>
      <c r="G2072"/>
      <c r="H2072"/>
      <c r="I2072"/>
      <c r="J2072" s="3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  <c r="X2072" s="2"/>
      <c r="Y2072" s="2"/>
      <c r="Z2072" s="2"/>
      <c r="AA2072" s="2"/>
    </row>
    <row r="2073" spans="1:27" s="1" customFormat="1">
      <c r="A2073"/>
      <c r="B2073"/>
      <c r="C2073"/>
      <c r="D2073"/>
      <c r="E2073"/>
      <c r="F2073"/>
      <c r="G2073"/>
      <c r="H2073"/>
      <c r="I2073"/>
      <c r="J2073" s="3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  <c r="X2073" s="2"/>
      <c r="Y2073" s="2"/>
      <c r="Z2073" s="2"/>
      <c r="AA2073" s="2"/>
    </row>
    <row r="2074" spans="1:27" s="1" customFormat="1">
      <c r="A2074"/>
      <c r="B2074"/>
      <c r="C2074"/>
      <c r="D2074"/>
      <c r="E2074"/>
      <c r="F2074"/>
      <c r="G2074"/>
      <c r="H2074"/>
      <c r="I2074"/>
      <c r="J2074" s="3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  <c r="X2074" s="2"/>
      <c r="Y2074" s="2"/>
      <c r="Z2074" s="2"/>
      <c r="AA2074" s="2"/>
    </row>
    <row r="2075" spans="1:27" s="1" customFormat="1">
      <c r="A2075"/>
      <c r="B2075"/>
      <c r="C2075"/>
      <c r="D2075"/>
      <c r="E2075"/>
      <c r="F2075"/>
      <c r="G2075"/>
      <c r="H2075"/>
      <c r="I2075"/>
      <c r="J2075" s="3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  <c r="X2075" s="2"/>
      <c r="Y2075" s="2"/>
      <c r="Z2075" s="2"/>
      <c r="AA2075" s="2"/>
    </row>
    <row r="2076" spans="1:27" s="1" customFormat="1">
      <c r="A2076"/>
      <c r="B2076"/>
      <c r="C2076"/>
      <c r="D2076"/>
      <c r="E2076"/>
      <c r="F2076"/>
      <c r="G2076"/>
      <c r="H2076"/>
      <c r="I2076"/>
      <c r="J2076" s="3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  <c r="X2076" s="2"/>
      <c r="Y2076" s="2"/>
      <c r="Z2076" s="2"/>
      <c r="AA2076" s="2"/>
    </row>
    <row r="2077" spans="1:27" s="1" customFormat="1">
      <c r="A2077"/>
      <c r="B2077"/>
      <c r="C2077"/>
      <c r="D2077"/>
      <c r="E2077"/>
      <c r="F2077"/>
      <c r="G2077"/>
      <c r="H2077"/>
      <c r="I2077"/>
      <c r="J2077" s="3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  <c r="X2077" s="2"/>
      <c r="Y2077" s="2"/>
      <c r="Z2077" s="2"/>
      <c r="AA2077" s="2"/>
    </row>
    <row r="2078" spans="1:27" s="1" customFormat="1">
      <c r="A2078"/>
      <c r="B2078"/>
      <c r="C2078"/>
      <c r="D2078"/>
      <c r="E2078"/>
      <c r="F2078"/>
      <c r="G2078"/>
      <c r="H2078"/>
      <c r="I2078"/>
      <c r="J2078" s="3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  <c r="X2078" s="2"/>
      <c r="Y2078" s="2"/>
      <c r="Z2078" s="2"/>
      <c r="AA2078" s="2"/>
    </row>
    <row r="2079" spans="1:27" s="1" customFormat="1">
      <c r="A2079"/>
      <c r="B2079"/>
      <c r="C2079"/>
      <c r="D2079"/>
      <c r="E2079"/>
      <c r="F2079"/>
      <c r="G2079"/>
      <c r="H2079"/>
      <c r="I2079"/>
      <c r="J2079" s="3"/>
      <c r="K2079" s="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2"/>
      <c r="W2079" s="12"/>
      <c r="X2079" s="2"/>
      <c r="Y2079" s="2"/>
      <c r="Z2079" s="2"/>
      <c r="AA2079" s="2"/>
    </row>
    <row r="2080" spans="1:27" s="1" customFormat="1">
      <c r="A2080"/>
      <c r="B2080"/>
      <c r="C2080"/>
      <c r="D2080"/>
      <c r="E2080"/>
      <c r="F2080"/>
      <c r="G2080"/>
      <c r="H2080"/>
      <c r="I2080"/>
      <c r="J2080" s="3"/>
      <c r="K2080" s="2"/>
      <c r="L2080" s="14"/>
      <c r="M2080" s="14"/>
      <c r="N2080" s="14"/>
      <c r="O2080" s="12"/>
      <c r="P2080" s="12"/>
      <c r="Q2080" s="12"/>
      <c r="R2080" s="14"/>
      <c r="S2080" s="14"/>
      <c r="T2080" s="12"/>
      <c r="U2080" s="2"/>
      <c r="V2080" s="12"/>
      <c r="W2080" s="2"/>
      <c r="X2080" s="2"/>
      <c r="Y2080" s="2"/>
      <c r="Z2080" s="2"/>
      <c r="AA2080" s="2"/>
    </row>
    <row r="2081" spans="1:27" s="1" customFormat="1">
      <c r="A2081"/>
      <c r="B2081"/>
      <c r="C2081"/>
      <c r="D2081"/>
      <c r="E2081"/>
      <c r="F2081"/>
      <c r="G2081"/>
      <c r="H2081"/>
      <c r="I2081"/>
      <c r="K2081" s="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3"/>
      <c r="V2081" s="13"/>
      <c r="W2081" s="12"/>
      <c r="X2081" s="2"/>
      <c r="Y2081" s="2"/>
      <c r="Z2081" s="2"/>
      <c r="AA2081" s="2"/>
    </row>
    <row r="2082" spans="1:27" s="1" customFormat="1">
      <c r="A2082"/>
      <c r="B2082"/>
      <c r="C2082"/>
      <c r="D2082"/>
      <c r="E2082"/>
      <c r="F2082"/>
      <c r="G2082"/>
      <c r="H2082"/>
      <c r="I2082"/>
      <c r="K2082" s="2"/>
      <c r="L2082" s="10"/>
      <c r="M2082" s="10"/>
      <c r="N2082" s="9"/>
      <c r="O2082" s="6"/>
      <c r="P2082" s="8"/>
      <c r="Q2082" s="6"/>
      <c r="R2082" s="8"/>
      <c r="S2082" s="6"/>
      <c r="T2082" s="8"/>
      <c r="U2082" s="7"/>
      <c r="V2082" s="7"/>
      <c r="W2082" s="6"/>
      <c r="X2082" s="2"/>
      <c r="Y2082" s="2"/>
      <c r="Z2082" s="2"/>
      <c r="AA2082" s="2"/>
    </row>
    <row r="2083" spans="1:27" s="1" customFormat="1">
      <c r="A2083"/>
      <c r="B2083"/>
      <c r="C2083"/>
      <c r="D2083"/>
      <c r="E2083"/>
      <c r="F2083"/>
      <c r="G2083"/>
      <c r="H2083"/>
      <c r="I2083"/>
      <c r="K2083" s="11"/>
      <c r="L2083" s="10"/>
      <c r="M2083" s="10"/>
      <c r="N2083" s="9"/>
      <c r="O2083" s="6"/>
      <c r="P2083" s="8"/>
      <c r="Q2083" s="6"/>
      <c r="R2083" s="8"/>
      <c r="S2083" s="6"/>
      <c r="T2083" s="8"/>
      <c r="U2083" s="7"/>
      <c r="V2083" s="7"/>
      <c r="W2083" s="6"/>
      <c r="X2083" s="2"/>
      <c r="Y2083" s="2"/>
      <c r="Z2083" s="2"/>
      <c r="AA2083" s="2"/>
    </row>
    <row r="2084" spans="1:27" s="1" customFormat="1">
      <c r="A2084"/>
      <c r="B2084"/>
      <c r="C2084"/>
      <c r="D2084"/>
      <c r="E2084"/>
      <c r="F2084"/>
      <c r="G2084"/>
      <c r="H2084"/>
      <c r="I2084"/>
      <c r="K2084" s="2"/>
      <c r="L2084" s="10"/>
      <c r="M2084" s="10"/>
      <c r="N2084" s="9"/>
      <c r="O2084" s="6"/>
      <c r="P2084" s="8"/>
      <c r="Q2084" s="6"/>
      <c r="R2084" s="8"/>
      <c r="S2084" s="6"/>
      <c r="T2084" s="8"/>
      <c r="U2084" s="7"/>
      <c r="V2084" s="7"/>
      <c r="W2084" s="6"/>
      <c r="X2084" s="2"/>
      <c r="Y2084" s="2"/>
      <c r="Z2084" s="2"/>
      <c r="AA2084" s="2"/>
    </row>
    <row r="2085" spans="1:27" s="1" customFormat="1">
      <c r="A2085"/>
      <c r="B2085"/>
      <c r="C2085"/>
      <c r="D2085"/>
      <c r="E2085"/>
      <c r="F2085"/>
      <c r="G2085"/>
      <c r="H2085"/>
      <c r="I2085"/>
      <c r="K2085" s="2"/>
      <c r="L2085" s="10"/>
      <c r="M2085" s="10"/>
      <c r="N2085" s="9"/>
      <c r="O2085" s="6"/>
      <c r="P2085" s="8"/>
      <c r="Q2085" s="6"/>
      <c r="R2085" s="8"/>
      <c r="S2085" s="6"/>
      <c r="T2085" s="8"/>
      <c r="U2085" s="7"/>
      <c r="V2085" s="7"/>
      <c r="W2085" s="6"/>
      <c r="X2085" s="2"/>
      <c r="Y2085" s="2"/>
      <c r="Z2085" s="2"/>
      <c r="AA2085" s="2"/>
    </row>
    <row r="2086" spans="1:27" s="1" customFormat="1">
      <c r="A2086"/>
      <c r="B2086"/>
      <c r="C2086"/>
      <c r="D2086"/>
      <c r="E2086"/>
      <c r="F2086"/>
      <c r="G2086"/>
      <c r="H2086"/>
      <c r="I2086"/>
      <c r="K2086" s="2"/>
      <c r="L2086" s="2"/>
      <c r="M2086" s="2"/>
      <c r="N2086" s="2"/>
      <c r="O2086" s="6"/>
      <c r="P2086" s="8"/>
      <c r="Q2086" s="6"/>
      <c r="R2086" s="8"/>
      <c r="S2086" s="6"/>
      <c r="T2086" s="8"/>
      <c r="U2086" s="7"/>
      <c r="V2086" s="7"/>
      <c r="W2086" s="6"/>
      <c r="X2086" s="2"/>
      <c r="Y2086" s="2"/>
      <c r="Z2086" s="2"/>
      <c r="AA2086" s="2"/>
    </row>
    <row r="2087" spans="1:27" s="1" customFormat="1">
      <c r="A2087"/>
      <c r="B2087"/>
      <c r="C2087"/>
      <c r="D2087"/>
      <c r="E2087"/>
      <c r="F2087"/>
      <c r="G2087"/>
      <c r="H2087"/>
      <c r="I2087"/>
      <c r="K2087" s="2"/>
      <c r="L2087" s="2"/>
      <c r="M2087" s="2"/>
      <c r="N2087" s="2"/>
      <c r="O2087" s="5"/>
      <c r="P2087" s="4"/>
      <c r="Q2087" s="2"/>
      <c r="R2087" s="2"/>
      <c r="S2087" s="2"/>
      <c r="T2087" s="2"/>
      <c r="U2087" s="2"/>
      <c r="V2087" s="2"/>
      <c r="W2087" s="2"/>
      <c r="X2087" s="2"/>
      <c r="Y2087" s="2"/>
      <c r="Z2087" s="2"/>
      <c r="AA2087" s="2"/>
    </row>
    <row r="2088" spans="1:27" s="1" customFormat="1">
      <c r="A2088"/>
      <c r="B2088"/>
      <c r="C2088"/>
      <c r="D2088"/>
      <c r="E2088"/>
      <c r="F2088"/>
      <c r="G2088"/>
      <c r="H2088"/>
      <c r="I2088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  <c r="X2088" s="2"/>
      <c r="Y2088" s="2"/>
      <c r="Z2088" s="2"/>
      <c r="AA2088" s="2"/>
    </row>
    <row r="2089" spans="1:27" s="1" customFormat="1">
      <c r="A2089"/>
      <c r="B2089"/>
      <c r="C2089"/>
      <c r="D2089"/>
      <c r="E2089"/>
      <c r="F2089"/>
      <c r="G2089"/>
      <c r="H2089"/>
      <c r="I2089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  <c r="X2089" s="2"/>
      <c r="Y2089" s="2"/>
      <c r="Z2089" s="2"/>
      <c r="AA2089" s="2"/>
    </row>
    <row r="2090" spans="1:27" s="1" customFormat="1">
      <c r="A2090"/>
      <c r="B2090"/>
      <c r="C2090"/>
      <c r="D2090"/>
      <c r="E2090"/>
      <c r="F2090"/>
      <c r="G2090"/>
      <c r="H2090"/>
      <c r="I2090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  <c r="X2090" s="2"/>
      <c r="Y2090" s="2"/>
      <c r="Z2090" s="2"/>
      <c r="AA2090" s="2"/>
    </row>
    <row r="2091" spans="1:27" s="1" customFormat="1">
      <c r="A2091"/>
      <c r="B2091"/>
      <c r="C2091"/>
      <c r="D2091"/>
      <c r="E2091"/>
      <c r="F2091"/>
      <c r="G2091"/>
      <c r="H2091"/>
      <c r="I2091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  <c r="X2091" s="2"/>
      <c r="Y2091" s="2"/>
      <c r="Z2091" s="2"/>
      <c r="AA2091" s="2"/>
    </row>
    <row r="2092" spans="1:27" s="1" customFormat="1">
      <c r="A2092"/>
      <c r="B2092"/>
      <c r="C2092"/>
      <c r="D2092"/>
      <c r="E2092"/>
      <c r="F2092"/>
      <c r="G2092"/>
      <c r="H2092"/>
      <c r="I209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  <c r="X2092" s="2"/>
      <c r="Y2092" s="2"/>
      <c r="Z2092" s="2"/>
      <c r="AA2092" s="2"/>
    </row>
    <row r="2093" spans="1:27" s="1" customFormat="1">
      <c r="A2093"/>
      <c r="B2093"/>
      <c r="C2093"/>
      <c r="D2093"/>
      <c r="E2093"/>
      <c r="F2093"/>
      <c r="G2093"/>
      <c r="H2093"/>
      <c r="I2093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  <c r="X2093" s="2"/>
      <c r="Y2093" s="2"/>
      <c r="Z2093" s="2"/>
      <c r="AA2093" s="2"/>
    </row>
    <row r="2094" spans="1:27" s="1" customFormat="1">
      <c r="A2094"/>
      <c r="B2094"/>
      <c r="C2094"/>
      <c r="D2094"/>
      <c r="E2094"/>
      <c r="F2094"/>
      <c r="G2094"/>
      <c r="H2094"/>
      <c r="I2094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  <c r="X2094" s="2"/>
      <c r="Y2094" s="2"/>
      <c r="Z2094" s="2"/>
      <c r="AA2094" s="2"/>
    </row>
    <row r="2095" spans="1:27" s="1" customFormat="1">
      <c r="A2095"/>
      <c r="B2095"/>
      <c r="C2095"/>
      <c r="D2095"/>
      <c r="E2095"/>
      <c r="F2095"/>
      <c r="G2095"/>
      <c r="H2095"/>
      <c r="I2095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  <c r="X2095" s="2"/>
      <c r="Y2095" s="2"/>
      <c r="Z2095" s="2"/>
      <c r="AA2095" s="2"/>
    </row>
    <row r="2096" spans="1:27" s="1" customFormat="1">
      <c r="A2096"/>
      <c r="B2096"/>
      <c r="C2096"/>
      <c r="D2096"/>
      <c r="E2096"/>
      <c r="F2096"/>
      <c r="G2096"/>
      <c r="H2096"/>
      <c r="I2096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  <c r="X2096" s="2"/>
      <c r="Y2096" s="2"/>
      <c r="Z2096" s="2"/>
      <c r="AA2096" s="2"/>
    </row>
    <row r="2097" spans="1:27" s="1" customFormat="1">
      <c r="A2097"/>
      <c r="B2097"/>
      <c r="C2097"/>
      <c r="D2097"/>
      <c r="E2097"/>
      <c r="F2097"/>
      <c r="G2097"/>
      <c r="H2097"/>
      <c r="I2097"/>
      <c r="J2097" s="3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  <c r="X2097" s="2"/>
      <c r="Y2097" s="2"/>
      <c r="Z2097" s="2"/>
      <c r="AA2097" s="2"/>
    </row>
    <row r="2098" spans="1:27" s="1" customFormat="1">
      <c r="A2098"/>
      <c r="B2098"/>
      <c r="C2098"/>
      <c r="D2098"/>
      <c r="E2098"/>
      <c r="F2098"/>
      <c r="G2098"/>
      <c r="H2098"/>
      <c r="I2098"/>
      <c r="J2098" s="3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  <c r="X2098" s="2"/>
      <c r="Y2098" s="2"/>
      <c r="Z2098" s="2"/>
      <c r="AA2098" s="2"/>
    </row>
    <row r="2099" spans="1:27" s="1" customFormat="1">
      <c r="A2099"/>
      <c r="B2099"/>
      <c r="C2099"/>
      <c r="D2099"/>
      <c r="E2099"/>
      <c r="F2099"/>
      <c r="G2099"/>
      <c r="H2099"/>
      <c r="I2099"/>
      <c r="J2099" s="3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  <c r="X2099" s="2"/>
      <c r="Y2099" s="2"/>
      <c r="Z2099" s="2"/>
      <c r="AA2099" s="2"/>
    </row>
    <row r="2100" spans="1:27" s="1" customFormat="1">
      <c r="A2100"/>
      <c r="B2100"/>
      <c r="C2100"/>
      <c r="D2100"/>
      <c r="E2100"/>
      <c r="F2100"/>
      <c r="G2100"/>
      <c r="H2100"/>
      <c r="I2100"/>
      <c r="J2100" s="3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  <c r="X2100" s="2"/>
      <c r="Y2100" s="2"/>
      <c r="Z2100" s="2"/>
      <c r="AA2100" s="2"/>
    </row>
    <row r="2101" spans="1:27" s="1" customFormat="1">
      <c r="A2101"/>
      <c r="B2101"/>
      <c r="C2101"/>
      <c r="D2101"/>
      <c r="E2101"/>
      <c r="F2101"/>
      <c r="G2101"/>
      <c r="H2101"/>
      <c r="I2101"/>
      <c r="J2101" s="3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  <c r="X2101" s="2"/>
      <c r="Y2101" s="2"/>
      <c r="Z2101" s="2"/>
      <c r="AA2101" s="2"/>
    </row>
    <row r="2102" spans="1:27" s="1" customFormat="1">
      <c r="A2102"/>
      <c r="B2102"/>
      <c r="C2102"/>
      <c r="D2102"/>
      <c r="E2102"/>
      <c r="F2102"/>
      <c r="G2102"/>
      <c r="H2102"/>
      <c r="I2102"/>
      <c r="J2102" s="3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  <c r="X2102" s="2"/>
      <c r="Y2102" s="2"/>
      <c r="Z2102" s="2"/>
      <c r="AA2102" s="2"/>
    </row>
    <row r="2103" spans="1:27" s="1" customFormat="1">
      <c r="A2103"/>
      <c r="B2103"/>
      <c r="C2103"/>
      <c r="D2103"/>
      <c r="E2103"/>
      <c r="F2103"/>
      <c r="G2103"/>
      <c r="H2103"/>
      <c r="I2103"/>
      <c r="J2103" s="3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  <c r="X2103" s="2"/>
      <c r="Y2103" s="2"/>
      <c r="Z2103" s="2"/>
      <c r="AA2103" s="2"/>
    </row>
    <row r="2104" spans="1:27" s="1" customFormat="1">
      <c r="A2104"/>
      <c r="B2104"/>
      <c r="C2104"/>
      <c r="D2104"/>
      <c r="E2104"/>
      <c r="F2104"/>
      <c r="G2104"/>
      <c r="H2104"/>
      <c r="I2104"/>
      <c r="J2104" s="3"/>
      <c r="K2104" s="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2"/>
      <c r="W2104" s="12"/>
      <c r="X2104" s="2"/>
      <c r="Y2104" s="2"/>
      <c r="Z2104" s="2"/>
      <c r="AA2104" s="2"/>
    </row>
    <row r="2105" spans="1:27" s="1" customFormat="1">
      <c r="A2105"/>
      <c r="B2105"/>
      <c r="C2105"/>
      <c r="D2105"/>
      <c r="E2105"/>
      <c r="F2105"/>
      <c r="G2105"/>
      <c r="H2105"/>
      <c r="I2105"/>
      <c r="J2105" s="3"/>
      <c r="K2105" s="2"/>
      <c r="L2105" s="14"/>
      <c r="M2105" s="14"/>
      <c r="N2105" s="14"/>
      <c r="O2105" s="12"/>
      <c r="P2105" s="12"/>
      <c r="Q2105" s="12"/>
      <c r="R2105" s="14"/>
      <c r="S2105" s="14"/>
      <c r="T2105" s="12"/>
      <c r="U2105" s="2"/>
      <c r="V2105" s="12"/>
      <c r="W2105" s="2"/>
      <c r="X2105" s="2"/>
      <c r="Y2105" s="2"/>
      <c r="Z2105" s="2"/>
      <c r="AA2105" s="2"/>
    </row>
    <row r="2106" spans="1:27" s="1" customFormat="1">
      <c r="A2106"/>
      <c r="B2106"/>
      <c r="C2106"/>
      <c r="D2106"/>
      <c r="E2106"/>
      <c r="F2106"/>
      <c r="G2106"/>
      <c r="H2106"/>
      <c r="I2106"/>
      <c r="J2106" s="3"/>
      <c r="K2106" s="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3"/>
      <c r="V2106" s="13"/>
      <c r="W2106" s="12"/>
      <c r="X2106" s="2"/>
      <c r="Y2106" s="2"/>
      <c r="Z2106" s="2"/>
      <c r="AA2106" s="2"/>
    </row>
    <row r="2107" spans="1:27" s="1" customFormat="1">
      <c r="A2107"/>
      <c r="B2107"/>
      <c r="C2107"/>
      <c r="D2107"/>
      <c r="E2107"/>
      <c r="F2107"/>
      <c r="G2107"/>
      <c r="H2107"/>
      <c r="I2107"/>
      <c r="J2107" s="3"/>
      <c r="K2107" s="2"/>
      <c r="L2107" s="10"/>
      <c r="M2107" s="10"/>
      <c r="N2107" s="9"/>
      <c r="O2107" s="6"/>
      <c r="P2107" s="8"/>
      <c r="Q2107" s="6"/>
      <c r="R2107" s="8"/>
      <c r="S2107" s="6"/>
      <c r="T2107" s="8"/>
      <c r="U2107" s="7"/>
      <c r="V2107" s="7"/>
      <c r="W2107" s="6"/>
      <c r="X2107" s="2"/>
      <c r="Y2107" s="2"/>
      <c r="Z2107" s="2"/>
      <c r="AA2107" s="2"/>
    </row>
    <row r="2108" spans="1:27" s="1" customFormat="1">
      <c r="A2108"/>
      <c r="B2108"/>
      <c r="C2108"/>
      <c r="D2108"/>
      <c r="E2108"/>
      <c r="F2108"/>
      <c r="G2108"/>
      <c r="H2108"/>
      <c r="I2108"/>
      <c r="J2108" s="3"/>
      <c r="K2108" s="11"/>
      <c r="L2108" s="10"/>
      <c r="M2108" s="10"/>
      <c r="N2108" s="9"/>
      <c r="O2108" s="6"/>
      <c r="P2108" s="8"/>
      <c r="Q2108" s="6"/>
      <c r="R2108" s="8"/>
      <c r="S2108" s="6"/>
      <c r="T2108" s="8"/>
      <c r="U2108" s="7"/>
      <c r="V2108" s="7"/>
      <c r="W2108" s="6"/>
      <c r="X2108" s="2"/>
      <c r="Y2108" s="2"/>
      <c r="Z2108" s="2"/>
      <c r="AA2108" s="2"/>
    </row>
    <row r="2109" spans="1:27" s="1" customFormat="1">
      <c r="A2109"/>
      <c r="B2109"/>
      <c r="C2109"/>
      <c r="D2109"/>
      <c r="E2109"/>
      <c r="F2109"/>
      <c r="G2109"/>
      <c r="H2109"/>
      <c r="I2109"/>
      <c r="J2109" s="3"/>
      <c r="K2109" s="2"/>
      <c r="L2109" s="10"/>
      <c r="M2109" s="10"/>
      <c r="N2109" s="9"/>
      <c r="O2109" s="6"/>
      <c r="P2109" s="8"/>
      <c r="Q2109" s="6"/>
      <c r="R2109" s="8"/>
      <c r="S2109" s="6"/>
      <c r="T2109" s="8"/>
      <c r="U2109" s="7"/>
      <c r="V2109" s="7"/>
      <c r="W2109" s="6"/>
      <c r="X2109" s="2"/>
      <c r="Y2109" s="2"/>
      <c r="Z2109" s="2"/>
      <c r="AA2109" s="2"/>
    </row>
    <row r="2110" spans="1:27" s="1" customFormat="1">
      <c r="A2110"/>
      <c r="B2110"/>
      <c r="C2110"/>
      <c r="D2110"/>
      <c r="E2110"/>
      <c r="F2110"/>
      <c r="G2110"/>
      <c r="H2110"/>
      <c r="I2110"/>
      <c r="J2110" s="3"/>
      <c r="K2110" s="2"/>
      <c r="L2110" s="10"/>
      <c r="M2110" s="10"/>
      <c r="N2110" s="9"/>
      <c r="O2110" s="6"/>
      <c r="P2110" s="8"/>
      <c r="Q2110" s="6"/>
      <c r="R2110" s="8"/>
      <c r="S2110" s="6"/>
      <c r="T2110" s="8"/>
      <c r="U2110" s="7"/>
      <c r="V2110" s="7"/>
      <c r="W2110" s="6"/>
      <c r="X2110" s="2"/>
      <c r="Y2110" s="2"/>
      <c r="Z2110" s="2"/>
      <c r="AA2110" s="2"/>
    </row>
    <row r="2111" spans="1:27" s="1" customFormat="1">
      <c r="A2111"/>
      <c r="B2111"/>
      <c r="C2111"/>
      <c r="D2111"/>
      <c r="E2111"/>
      <c r="F2111"/>
      <c r="G2111"/>
      <c r="H2111"/>
      <c r="I2111"/>
      <c r="J2111" s="3"/>
      <c r="K2111" s="2"/>
      <c r="L2111" s="2"/>
      <c r="M2111" s="2"/>
      <c r="N2111" s="2"/>
      <c r="O2111" s="6"/>
      <c r="P2111" s="8"/>
      <c r="Q2111" s="6"/>
      <c r="R2111" s="8"/>
      <c r="S2111" s="6"/>
      <c r="T2111" s="8"/>
      <c r="U2111" s="7"/>
      <c r="V2111" s="7"/>
      <c r="W2111" s="6"/>
      <c r="X2111" s="2"/>
      <c r="Y2111" s="2"/>
      <c r="Z2111" s="2"/>
      <c r="AA2111" s="2"/>
    </row>
    <row r="2112" spans="1:27" s="1" customFormat="1">
      <c r="A2112"/>
      <c r="B2112"/>
      <c r="C2112"/>
      <c r="D2112"/>
      <c r="E2112"/>
      <c r="F2112"/>
      <c r="G2112"/>
      <c r="H2112"/>
      <c r="I2112"/>
      <c r="J2112" s="3"/>
      <c r="K2112" s="2"/>
      <c r="L2112" s="2"/>
      <c r="M2112" s="2"/>
      <c r="N2112" s="2"/>
      <c r="O2112" s="5"/>
      <c r="P2112" s="4"/>
      <c r="Q2112" s="2"/>
      <c r="R2112" s="2"/>
      <c r="S2112" s="2"/>
      <c r="T2112" s="2"/>
      <c r="U2112" s="2"/>
      <c r="V2112" s="2"/>
      <c r="W2112" s="2"/>
      <c r="X2112" s="2"/>
      <c r="Y2112" s="2"/>
      <c r="Z2112" s="2"/>
      <c r="AA2112" s="2"/>
    </row>
    <row r="2113" spans="1:27" s="1" customFormat="1">
      <c r="A2113"/>
      <c r="B2113"/>
      <c r="C2113"/>
      <c r="D2113"/>
      <c r="E2113"/>
      <c r="F2113"/>
      <c r="G2113"/>
      <c r="H2113"/>
      <c r="I2113"/>
      <c r="J2113" s="3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  <c r="X2113" s="2"/>
      <c r="Y2113" s="2"/>
      <c r="Z2113" s="2"/>
      <c r="AA2113" s="2"/>
    </row>
    <row r="2114" spans="1:27" s="1" customFormat="1">
      <c r="A2114"/>
      <c r="B2114"/>
      <c r="C2114"/>
      <c r="D2114"/>
      <c r="E2114"/>
      <c r="F2114"/>
      <c r="G2114"/>
      <c r="H2114"/>
      <c r="I2114"/>
      <c r="J2114" s="3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  <c r="X2114" s="2"/>
      <c r="Y2114" s="2"/>
      <c r="Z2114" s="2"/>
      <c r="AA2114" s="2"/>
    </row>
    <row r="2115" spans="1:27" s="1" customFormat="1">
      <c r="A2115"/>
      <c r="B2115"/>
      <c r="C2115"/>
      <c r="D2115"/>
      <c r="E2115"/>
      <c r="F2115"/>
      <c r="G2115"/>
      <c r="H2115"/>
      <c r="I2115"/>
      <c r="J2115" s="3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  <c r="X2115" s="2"/>
      <c r="Y2115" s="2"/>
      <c r="Z2115" s="2"/>
      <c r="AA2115" s="2"/>
    </row>
    <row r="2116" spans="1:27" s="1" customFormat="1">
      <c r="A2116"/>
      <c r="B2116"/>
      <c r="C2116"/>
      <c r="D2116"/>
      <c r="E2116"/>
      <c r="F2116"/>
      <c r="G2116"/>
      <c r="H2116"/>
      <c r="I2116"/>
      <c r="J2116" s="3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  <c r="X2116" s="2"/>
      <c r="Y2116" s="2"/>
      <c r="Z2116" s="2"/>
      <c r="AA2116" s="2"/>
    </row>
    <row r="2117" spans="1:27" s="1" customFormat="1">
      <c r="A2117"/>
      <c r="B2117"/>
      <c r="C2117"/>
      <c r="D2117"/>
      <c r="E2117"/>
      <c r="F2117"/>
      <c r="G2117"/>
      <c r="H2117"/>
      <c r="I2117"/>
      <c r="J2117" s="3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  <c r="X2117" s="2"/>
      <c r="Y2117" s="2"/>
      <c r="Z2117" s="2"/>
      <c r="AA2117" s="2"/>
    </row>
    <row r="2118" spans="1:27" s="1" customFormat="1">
      <c r="A2118"/>
      <c r="B2118"/>
      <c r="C2118"/>
      <c r="D2118"/>
      <c r="E2118"/>
      <c r="F2118"/>
      <c r="G2118"/>
      <c r="H2118"/>
      <c r="I2118"/>
      <c r="J2118" s="3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  <c r="X2118" s="2"/>
      <c r="Y2118" s="2"/>
      <c r="Z2118" s="2"/>
      <c r="AA2118" s="2"/>
    </row>
    <row r="2119" spans="1:27" s="1" customFormat="1">
      <c r="A2119"/>
      <c r="B2119"/>
      <c r="C2119"/>
      <c r="D2119"/>
      <c r="E2119"/>
      <c r="F2119"/>
      <c r="G2119"/>
      <c r="H2119"/>
      <c r="I2119"/>
      <c r="J2119" s="3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  <c r="X2119" s="2"/>
      <c r="Y2119" s="2"/>
      <c r="Z2119" s="2"/>
      <c r="AA2119" s="2"/>
    </row>
    <row r="2120" spans="1:27" s="1" customFormat="1">
      <c r="A2120"/>
      <c r="B2120"/>
      <c r="C2120"/>
      <c r="D2120"/>
      <c r="E2120"/>
      <c r="F2120"/>
      <c r="G2120"/>
      <c r="H2120"/>
      <c r="I2120"/>
      <c r="J2120" s="3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  <c r="X2120" s="2"/>
      <c r="Y2120" s="2"/>
      <c r="Z2120" s="2"/>
      <c r="AA2120" s="2"/>
    </row>
    <row r="2121" spans="1:27" s="1" customFormat="1">
      <c r="A2121"/>
      <c r="B2121"/>
      <c r="C2121"/>
      <c r="D2121"/>
      <c r="E2121"/>
      <c r="F2121"/>
      <c r="G2121"/>
      <c r="H2121"/>
      <c r="I2121"/>
      <c r="J2121" s="3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  <c r="X2121" s="2"/>
      <c r="Y2121" s="2"/>
      <c r="Z2121" s="2"/>
      <c r="AA2121" s="2"/>
    </row>
    <row r="2122" spans="1:27" s="1" customFormat="1">
      <c r="A2122"/>
      <c r="B2122"/>
      <c r="C2122"/>
      <c r="D2122"/>
      <c r="E2122"/>
      <c r="F2122"/>
      <c r="G2122"/>
      <c r="H2122"/>
      <c r="I2122"/>
      <c r="J2122" s="3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  <c r="X2122" s="2"/>
      <c r="Y2122" s="2"/>
      <c r="Z2122" s="2"/>
      <c r="AA2122" s="2"/>
    </row>
    <row r="2123" spans="1:27" s="1" customFormat="1">
      <c r="A2123"/>
      <c r="B2123"/>
      <c r="C2123"/>
      <c r="D2123"/>
      <c r="E2123"/>
      <c r="F2123"/>
      <c r="G2123"/>
      <c r="H2123"/>
      <c r="I2123"/>
      <c r="J2123" s="3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  <c r="X2123" s="2"/>
      <c r="Y2123" s="2"/>
      <c r="Z2123" s="2"/>
      <c r="AA2123" s="2"/>
    </row>
    <row r="2124" spans="1:27" s="1" customFormat="1">
      <c r="A2124"/>
      <c r="B2124"/>
      <c r="C2124"/>
      <c r="D2124"/>
      <c r="E2124"/>
      <c r="F2124"/>
      <c r="G2124"/>
      <c r="H2124"/>
      <c r="I2124"/>
      <c r="J2124" s="3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  <c r="X2124" s="2"/>
      <c r="Y2124" s="2"/>
      <c r="Z2124" s="2"/>
      <c r="AA2124" s="2"/>
    </row>
    <row r="2125" spans="1:27" s="1" customFormat="1">
      <c r="A2125"/>
      <c r="B2125"/>
      <c r="C2125"/>
      <c r="D2125"/>
      <c r="E2125"/>
      <c r="F2125"/>
      <c r="G2125"/>
      <c r="H2125"/>
      <c r="I2125"/>
      <c r="J2125" s="3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  <c r="X2125" s="2"/>
      <c r="Y2125" s="2"/>
      <c r="Z2125" s="2"/>
      <c r="AA2125" s="2"/>
    </row>
    <row r="2126" spans="1:27" s="1" customFormat="1">
      <c r="A2126"/>
      <c r="B2126"/>
      <c r="C2126"/>
      <c r="D2126"/>
      <c r="E2126"/>
      <c r="F2126"/>
      <c r="G2126"/>
      <c r="H2126"/>
      <c r="I2126"/>
      <c r="J2126" s="3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  <c r="X2126" s="2"/>
      <c r="Y2126" s="2"/>
      <c r="Z2126" s="2"/>
      <c r="AA2126" s="2"/>
    </row>
    <row r="2127" spans="1:27" s="1" customFormat="1">
      <c r="A2127"/>
      <c r="B2127"/>
      <c r="C2127"/>
      <c r="D2127"/>
      <c r="E2127"/>
      <c r="F2127"/>
      <c r="G2127"/>
      <c r="H2127"/>
      <c r="I2127"/>
      <c r="J2127" s="3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  <c r="X2127" s="2"/>
      <c r="Y2127" s="2"/>
      <c r="Z2127" s="2"/>
      <c r="AA2127" s="2"/>
    </row>
    <row r="2128" spans="1:27" s="1" customFormat="1">
      <c r="A2128"/>
      <c r="B2128"/>
      <c r="C2128"/>
      <c r="D2128"/>
      <c r="E2128"/>
      <c r="F2128"/>
      <c r="G2128"/>
      <c r="H2128"/>
      <c r="I2128"/>
      <c r="J2128" s="3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  <c r="X2128" s="2"/>
      <c r="Y2128" s="2"/>
      <c r="Z2128" s="2"/>
      <c r="AA2128" s="2"/>
    </row>
    <row r="2129" spans="1:27" s="1" customFormat="1">
      <c r="A2129"/>
      <c r="B2129"/>
      <c r="C2129"/>
      <c r="D2129"/>
      <c r="E2129"/>
      <c r="F2129"/>
      <c r="G2129"/>
      <c r="H2129"/>
      <c r="I2129"/>
      <c r="J2129" s="3"/>
      <c r="K2129" s="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2"/>
      <c r="W2129" s="12"/>
      <c r="X2129" s="2"/>
      <c r="Y2129" s="2"/>
      <c r="Z2129" s="2"/>
      <c r="AA2129" s="2"/>
    </row>
    <row r="2130" spans="1:27" s="1" customFormat="1">
      <c r="A2130"/>
      <c r="B2130"/>
      <c r="C2130"/>
      <c r="D2130"/>
      <c r="E2130"/>
      <c r="F2130"/>
      <c r="G2130"/>
      <c r="H2130"/>
      <c r="I2130"/>
      <c r="J2130" s="3"/>
      <c r="K2130" s="2"/>
      <c r="L2130" s="14"/>
      <c r="M2130" s="14"/>
      <c r="N2130" s="14"/>
      <c r="O2130" s="12"/>
      <c r="P2130" s="12"/>
      <c r="Q2130" s="12"/>
      <c r="R2130" s="14"/>
      <c r="S2130" s="14"/>
      <c r="T2130" s="12"/>
      <c r="U2130" s="2"/>
      <c r="V2130" s="12"/>
      <c r="W2130" s="2"/>
      <c r="X2130" s="2"/>
      <c r="Y2130" s="2"/>
      <c r="Z2130" s="2"/>
      <c r="AA2130" s="2"/>
    </row>
    <row r="2131" spans="1:27" s="1" customFormat="1">
      <c r="A2131"/>
      <c r="B2131"/>
      <c r="C2131"/>
      <c r="D2131"/>
      <c r="E2131"/>
      <c r="F2131"/>
      <c r="G2131"/>
      <c r="H2131"/>
      <c r="I2131"/>
      <c r="J2131" s="3"/>
      <c r="K2131" s="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3"/>
      <c r="V2131" s="13"/>
      <c r="W2131" s="12"/>
      <c r="X2131" s="2"/>
      <c r="Y2131" s="2"/>
      <c r="Z2131" s="2"/>
      <c r="AA2131" s="2"/>
    </row>
    <row r="2132" spans="1:27" s="1" customFormat="1">
      <c r="A2132"/>
      <c r="B2132"/>
      <c r="C2132"/>
      <c r="D2132"/>
      <c r="E2132"/>
      <c r="F2132"/>
      <c r="G2132"/>
      <c r="H2132"/>
      <c r="I2132"/>
      <c r="J2132" s="3"/>
      <c r="K2132" s="2"/>
      <c r="L2132" s="10"/>
      <c r="M2132" s="10"/>
      <c r="N2132" s="9"/>
      <c r="O2132" s="6"/>
      <c r="P2132" s="8"/>
      <c r="Q2132" s="6"/>
      <c r="R2132" s="8"/>
      <c r="S2132" s="6"/>
      <c r="T2132" s="8"/>
      <c r="U2132" s="7"/>
      <c r="V2132" s="7"/>
      <c r="W2132" s="6"/>
      <c r="X2132" s="2"/>
      <c r="Y2132" s="2"/>
      <c r="Z2132" s="2"/>
      <c r="AA2132" s="2"/>
    </row>
    <row r="2133" spans="1:27" s="1" customFormat="1">
      <c r="A2133"/>
      <c r="B2133"/>
      <c r="C2133"/>
      <c r="D2133"/>
      <c r="E2133"/>
      <c r="F2133"/>
      <c r="G2133"/>
      <c r="H2133"/>
      <c r="I2133"/>
      <c r="J2133" s="3"/>
      <c r="K2133" s="11"/>
      <c r="L2133" s="10"/>
      <c r="M2133" s="10"/>
      <c r="N2133" s="9"/>
      <c r="O2133" s="6"/>
      <c r="P2133" s="8"/>
      <c r="Q2133" s="6"/>
      <c r="R2133" s="8"/>
      <c r="S2133" s="6"/>
      <c r="T2133" s="8"/>
      <c r="U2133" s="7"/>
      <c r="V2133" s="7"/>
      <c r="W2133" s="6"/>
      <c r="X2133" s="2"/>
      <c r="Y2133" s="2"/>
      <c r="Z2133" s="2"/>
      <c r="AA2133" s="2"/>
    </row>
    <row r="2134" spans="1:27" s="1" customFormat="1">
      <c r="A2134"/>
      <c r="B2134"/>
      <c r="C2134"/>
      <c r="D2134"/>
      <c r="E2134"/>
      <c r="F2134"/>
      <c r="G2134"/>
      <c r="H2134"/>
      <c r="I2134"/>
      <c r="J2134" s="3"/>
      <c r="K2134" s="2"/>
      <c r="L2134" s="10"/>
      <c r="M2134" s="10"/>
      <c r="N2134" s="9"/>
      <c r="O2134" s="6"/>
      <c r="P2134" s="8"/>
      <c r="Q2134" s="6"/>
      <c r="R2134" s="8"/>
      <c r="S2134" s="6"/>
      <c r="T2134" s="8"/>
      <c r="U2134" s="7"/>
      <c r="V2134" s="7"/>
      <c r="W2134" s="6"/>
      <c r="X2134" s="2"/>
      <c r="Y2134" s="2"/>
      <c r="Z2134" s="2"/>
      <c r="AA2134" s="2"/>
    </row>
    <row r="2135" spans="1:27" s="1" customFormat="1">
      <c r="A2135"/>
      <c r="B2135"/>
      <c r="C2135"/>
      <c r="D2135"/>
      <c r="E2135"/>
      <c r="F2135"/>
      <c r="G2135"/>
      <c r="H2135"/>
      <c r="I2135"/>
      <c r="J2135" s="3"/>
      <c r="K2135" s="2"/>
      <c r="L2135" s="10"/>
      <c r="M2135" s="10"/>
      <c r="N2135" s="9"/>
      <c r="O2135" s="6"/>
      <c r="P2135" s="8"/>
      <c r="Q2135" s="6"/>
      <c r="R2135" s="8"/>
      <c r="S2135" s="6"/>
      <c r="T2135" s="8"/>
      <c r="U2135" s="7"/>
      <c r="V2135" s="7"/>
      <c r="W2135" s="6"/>
      <c r="X2135" s="2"/>
      <c r="Y2135" s="2"/>
      <c r="Z2135" s="2"/>
      <c r="AA2135" s="2"/>
    </row>
    <row r="2136" spans="1:27" s="1" customFormat="1">
      <c r="A2136"/>
      <c r="B2136"/>
      <c r="C2136"/>
      <c r="D2136"/>
      <c r="E2136"/>
      <c r="F2136"/>
      <c r="G2136"/>
      <c r="H2136"/>
      <c r="I2136"/>
      <c r="J2136" s="3"/>
      <c r="K2136" s="2"/>
      <c r="L2136" s="2"/>
      <c r="M2136" s="2"/>
      <c r="N2136" s="2"/>
      <c r="O2136" s="6"/>
      <c r="P2136" s="8"/>
      <c r="Q2136" s="6"/>
      <c r="R2136" s="8"/>
      <c r="S2136" s="6"/>
      <c r="T2136" s="8"/>
      <c r="U2136" s="7"/>
      <c r="V2136" s="7"/>
      <c r="W2136" s="6"/>
      <c r="X2136" s="2"/>
      <c r="Y2136" s="2"/>
      <c r="Z2136" s="2"/>
      <c r="AA2136" s="2"/>
    </row>
    <row r="2137" spans="1:27" s="1" customFormat="1">
      <c r="A2137"/>
      <c r="B2137"/>
      <c r="C2137"/>
      <c r="D2137"/>
      <c r="E2137"/>
      <c r="F2137"/>
      <c r="G2137"/>
      <c r="H2137"/>
      <c r="I2137"/>
      <c r="J2137" s="3"/>
      <c r="K2137" s="2"/>
      <c r="L2137" s="2"/>
      <c r="M2137" s="2"/>
      <c r="N2137" s="2"/>
      <c r="O2137" s="5"/>
      <c r="P2137" s="4"/>
      <c r="Q2137" s="2"/>
      <c r="R2137" s="2"/>
      <c r="S2137" s="2"/>
      <c r="T2137" s="2"/>
      <c r="U2137" s="2"/>
      <c r="V2137" s="2"/>
      <c r="W2137" s="2"/>
      <c r="X2137" s="2"/>
      <c r="Y2137" s="2"/>
      <c r="Z2137" s="2"/>
      <c r="AA2137" s="2"/>
    </row>
    <row r="2138" spans="1:27" s="1" customFormat="1">
      <c r="A2138"/>
      <c r="B2138"/>
      <c r="C2138"/>
      <c r="D2138"/>
      <c r="E2138"/>
      <c r="F2138"/>
      <c r="G2138"/>
      <c r="H2138"/>
      <c r="I2138"/>
      <c r="J2138" s="3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  <c r="X2138" s="2"/>
      <c r="Y2138" s="2"/>
      <c r="Z2138" s="2"/>
      <c r="AA2138" s="2"/>
    </row>
    <row r="2139" spans="1:27" s="1" customFormat="1">
      <c r="A2139"/>
      <c r="B2139"/>
      <c r="C2139"/>
      <c r="D2139"/>
      <c r="E2139"/>
      <c r="F2139"/>
      <c r="G2139"/>
      <c r="H2139"/>
      <c r="I2139"/>
      <c r="J2139" s="3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  <c r="X2139" s="2"/>
      <c r="Y2139" s="2"/>
      <c r="Z2139" s="2"/>
      <c r="AA2139" s="2"/>
    </row>
    <row r="2140" spans="1:27" s="1" customFormat="1">
      <c r="A2140"/>
      <c r="B2140"/>
      <c r="C2140"/>
      <c r="D2140"/>
      <c r="E2140"/>
      <c r="F2140"/>
      <c r="G2140"/>
      <c r="H2140"/>
      <c r="I2140"/>
      <c r="J2140" s="3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  <c r="X2140" s="2"/>
      <c r="Y2140" s="2"/>
      <c r="Z2140" s="2"/>
      <c r="AA2140" s="2"/>
    </row>
    <row r="2141" spans="1:27" s="1" customFormat="1">
      <c r="A2141"/>
      <c r="B2141"/>
      <c r="C2141"/>
      <c r="D2141"/>
      <c r="E2141"/>
      <c r="F2141"/>
      <c r="G2141"/>
      <c r="H2141"/>
      <c r="I2141"/>
      <c r="J2141" s="3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  <c r="X2141" s="2"/>
      <c r="Y2141" s="2"/>
      <c r="Z2141" s="2"/>
      <c r="AA2141" s="2"/>
    </row>
    <row r="2142" spans="1:27" s="1" customFormat="1">
      <c r="A2142"/>
      <c r="B2142"/>
      <c r="C2142"/>
      <c r="D2142"/>
      <c r="E2142"/>
      <c r="F2142"/>
      <c r="G2142"/>
      <c r="H2142"/>
      <c r="I2142"/>
      <c r="J2142" s="3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  <c r="X2142" s="2"/>
      <c r="Y2142" s="2"/>
      <c r="Z2142" s="2"/>
      <c r="AA2142" s="2"/>
    </row>
    <row r="2143" spans="1:27" s="1" customFormat="1">
      <c r="A2143"/>
      <c r="B2143"/>
      <c r="C2143"/>
      <c r="D2143"/>
      <c r="E2143"/>
      <c r="F2143"/>
      <c r="G2143"/>
      <c r="H2143"/>
      <c r="I2143"/>
      <c r="J2143" s="3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  <c r="X2143" s="2"/>
      <c r="Y2143" s="2"/>
      <c r="Z2143" s="2"/>
      <c r="AA2143" s="2"/>
    </row>
    <row r="2144" spans="1:27" s="1" customFormat="1">
      <c r="A2144"/>
      <c r="B2144"/>
      <c r="C2144"/>
      <c r="D2144"/>
      <c r="E2144"/>
      <c r="F2144"/>
      <c r="G2144"/>
      <c r="H2144"/>
      <c r="I2144"/>
      <c r="J2144" s="3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  <c r="X2144" s="2"/>
      <c r="Y2144" s="2"/>
      <c r="Z2144" s="2"/>
      <c r="AA2144" s="2"/>
    </row>
    <row r="2145" spans="1:27" s="1" customFormat="1">
      <c r="A2145"/>
      <c r="B2145"/>
      <c r="C2145"/>
      <c r="D2145"/>
      <c r="E2145"/>
      <c r="F2145"/>
      <c r="G2145"/>
      <c r="H2145"/>
      <c r="I2145"/>
      <c r="J2145" s="3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  <c r="X2145" s="2"/>
      <c r="Y2145" s="2"/>
      <c r="Z2145" s="2"/>
      <c r="AA2145" s="2"/>
    </row>
    <row r="2146" spans="1:27" s="1" customFormat="1">
      <c r="A2146"/>
      <c r="B2146"/>
      <c r="C2146"/>
      <c r="D2146"/>
      <c r="E2146"/>
      <c r="F2146"/>
      <c r="G2146"/>
      <c r="H2146"/>
      <c r="I2146"/>
      <c r="J2146" s="3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  <c r="X2146" s="2"/>
      <c r="Y2146" s="2"/>
      <c r="Z2146" s="2"/>
      <c r="AA2146" s="2"/>
    </row>
    <row r="2147" spans="1:27" s="1" customFormat="1">
      <c r="A2147"/>
      <c r="B2147"/>
      <c r="C2147"/>
      <c r="D2147"/>
      <c r="E2147"/>
      <c r="F2147"/>
      <c r="G2147"/>
      <c r="H2147"/>
      <c r="I2147"/>
      <c r="J2147" s="3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  <c r="X2147" s="2"/>
      <c r="Y2147" s="2"/>
      <c r="Z2147" s="2"/>
      <c r="AA2147" s="2"/>
    </row>
    <row r="2148" spans="1:27" s="1" customFormat="1">
      <c r="A2148"/>
      <c r="B2148"/>
      <c r="C2148"/>
      <c r="D2148"/>
      <c r="E2148"/>
      <c r="F2148"/>
      <c r="G2148"/>
      <c r="H2148"/>
      <c r="I2148"/>
      <c r="J2148" s="3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  <c r="X2148" s="2"/>
      <c r="Y2148" s="2"/>
      <c r="Z2148" s="2"/>
      <c r="AA2148" s="2"/>
    </row>
    <row r="2149" spans="1:27" s="1" customFormat="1">
      <c r="A2149"/>
      <c r="B2149"/>
      <c r="C2149"/>
      <c r="D2149"/>
      <c r="E2149"/>
      <c r="F2149"/>
      <c r="G2149"/>
      <c r="H2149"/>
      <c r="I2149"/>
      <c r="J2149" s="3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  <c r="X2149" s="2"/>
      <c r="Y2149" s="2"/>
      <c r="Z2149" s="2"/>
      <c r="AA2149" s="2"/>
    </row>
    <row r="2150" spans="1:27" s="1" customFormat="1">
      <c r="A2150"/>
      <c r="B2150"/>
      <c r="C2150"/>
      <c r="D2150"/>
      <c r="E2150"/>
      <c r="F2150"/>
      <c r="G2150"/>
      <c r="H2150"/>
      <c r="I2150"/>
      <c r="J2150" s="3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  <c r="X2150" s="2"/>
      <c r="Y2150" s="2"/>
      <c r="Z2150" s="2"/>
      <c r="AA2150" s="2"/>
    </row>
    <row r="2151" spans="1:27" s="1" customFormat="1">
      <c r="A2151"/>
      <c r="B2151"/>
      <c r="C2151"/>
      <c r="D2151"/>
      <c r="E2151"/>
      <c r="F2151"/>
      <c r="G2151"/>
      <c r="H2151"/>
      <c r="I2151"/>
      <c r="J2151" s="3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  <c r="X2151" s="2"/>
      <c r="Y2151" s="2"/>
      <c r="Z2151" s="2"/>
      <c r="AA2151" s="2"/>
    </row>
    <row r="2152" spans="1:27" s="1" customFormat="1">
      <c r="A2152"/>
      <c r="B2152"/>
      <c r="C2152"/>
      <c r="D2152"/>
      <c r="E2152"/>
      <c r="F2152"/>
      <c r="G2152"/>
      <c r="H2152"/>
      <c r="I2152"/>
      <c r="J2152" s="3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  <c r="X2152" s="2"/>
      <c r="Y2152" s="2"/>
      <c r="Z2152" s="2"/>
      <c r="AA2152" s="2"/>
    </row>
    <row r="2153" spans="1:27" s="1" customFormat="1">
      <c r="A2153"/>
      <c r="B2153"/>
      <c r="C2153"/>
      <c r="D2153"/>
      <c r="E2153"/>
      <c r="F2153"/>
      <c r="G2153"/>
      <c r="H2153"/>
      <c r="I2153"/>
      <c r="J2153" s="3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  <c r="X2153" s="2"/>
      <c r="Y2153" s="2"/>
      <c r="Z2153" s="2"/>
      <c r="AA2153" s="2"/>
    </row>
    <row r="2154" spans="1:27" s="1" customFormat="1">
      <c r="A2154"/>
      <c r="B2154"/>
      <c r="C2154"/>
      <c r="D2154"/>
      <c r="E2154"/>
      <c r="F2154"/>
      <c r="G2154"/>
      <c r="H2154"/>
      <c r="I2154"/>
      <c r="J2154" s="3"/>
      <c r="K2154" s="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2"/>
      <c r="W2154" s="12"/>
      <c r="X2154" s="2"/>
      <c r="Y2154" s="2"/>
      <c r="Z2154" s="2"/>
      <c r="AA2154" s="2"/>
    </row>
    <row r="2155" spans="1:27" s="1" customFormat="1">
      <c r="A2155"/>
      <c r="B2155"/>
      <c r="C2155"/>
      <c r="D2155"/>
      <c r="E2155"/>
      <c r="F2155"/>
      <c r="G2155"/>
      <c r="H2155"/>
      <c r="I2155"/>
      <c r="J2155" s="3"/>
      <c r="K2155" s="2"/>
      <c r="L2155" s="14"/>
      <c r="M2155" s="14"/>
      <c r="N2155" s="14"/>
      <c r="O2155" s="12"/>
      <c r="P2155" s="12"/>
      <c r="Q2155" s="12"/>
      <c r="R2155" s="14"/>
      <c r="S2155" s="14"/>
      <c r="T2155" s="12"/>
      <c r="U2155" s="2"/>
      <c r="V2155" s="12"/>
      <c r="W2155" s="2"/>
      <c r="X2155" s="2"/>
      <c r="Y2155" s="2"/>
      <c r="Z2155" s="2"/>
      <c r="AA2155" s="2"/>
    </row>
    <row r="2156" spans="1:27" s="1" customFormat="1">
      <c r="A2156"/>
      <c r="B2156"/>
      <c r="C2156"/>
      <c r="D2156"/>
      <c r="E2156"/>
      <c r="F2156"/>
      <c r="G2156"/>
      <c r="H2156"/>
      <c r="I2156"/>
      <c r="J2156" s="3"/>
      <c r="K2156" s="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3"/>
      <c r="V2156" s="13"/>
      <c r="W2156" s="12"/>
      <c r="X2156" s="2"/>
      <c r="Y2156" s="2"/>
      <c r="Z2156" s="2"/>
      <c r="AA2156" s="2"/>
    </row>
    <row r="2157" spans="1:27" s="1" customFormat="1">
      <c r="A2157"/>
      <c r="B2157"/>
      <c r="C2157"/>
      <c r="D2157"/>
      <c r="E2157"/>
      <c r="F2157"/>
      <c r="G2157"/>
      <c r="H2157"/>
      <c r="I2157"/>
      <c r="J2157" s="3"/>
      <c r="K2157" s="2"/>
      <c r="L2157" s="10"/>
      <c r="M2157" s="10"/>
      <c r="N2157" s="9"/>
      <c r="O2157" s="6"/>
      <c r="P2157" s="8"/>
      <c r="Q2157" s="6"/>
      <c r="R2157" s="8"/>
      <c r="S2157" s="6"/>
      <c r="T2157" s="8"/>
      <c r="U2157" s="7"/>
      <c r="V2157" s="7"/>
      <c r="W2157" s="6"/>
      <c r="X2157" s="2"/>
      <c r="Y2157" s="2"/>
      <c r="Z2157" s="2"/>
      <c r="AA2157" s="2"/>
    </row>
    <row r="2158" spans="1:27" s="1" customFormat="1">
      <c r="A2158"/>
      <c r="B2158"/>
      <c r="C2158"/>
      <c r="D2158"/>
      <c r="E2158"/>
      <c r="F2158"/>
      <c r="G2158"/>
      <c r="H2158"/>
      <c r="I2158"/>
      <c r="J2158" s="3"/>
      <c r="K2158" s="11"/>
      <c r="L2158" s="10"/>
      <c r="M2158" s="10"/>
      <c r="N2158" s="9"/>
      <c r="O2158" s="6"/>
      <c r="P2158" s="8"/>
      <c r="Q2158" s="6"/>
      <c r="R2158" s="8"/>
      <c r="S2158" s="6"/>
      <c r="T2158" s="8"/>
      <c r="U2158" s="7"/>
      <c r="V2158" s="7"/>
      <c r="W2158" s="6"/>
      <c r="X2158" s="2"/>
      <c r="Y2158" s="2"/>
      <c r="Z2158" s="2"/>
      <c r="AA2158" s="2"/>
    </row>
    <row r="2159" spans="1:27" s="1" customFormat="1">
      <c r="A2159"/>
      <c r="B2159"/>
      <c r="C2159"/>
      <c r="D2159"/>
      <c r="E2159"/>
      <c r="F2159"/>
      <c r="G2159"/>
      <c r="H2159"/>
      <c r="I2159"/>
      <c r="J2159" s="3"/>
      <c r="K2159" s="2"/>
      <c r="L2159" s="10"/>
      <c r="M2159" s="10"/>
      <c r="N2159" s="9"/>
      <c r="O2159" s="6"/>
      <c r="P2159" s="8"/>
      <c r="Q2159" s="6"/>
      <c r="R2159" s="8"/>
      <c r="S2159" s="6"/>
      <c r="T2159" s="8"/>
      <c r="U2159" s="7"/>
      <c r="V2159" s="7"/>
      <c r="W2159" s="6"/>
      <c r="X2159" s="2"/>
      <c r="Y2159" s="2"/>
      <c r="Z2159" s="2"/>
      <c r="AA2159" s="2"/>
    </row>
    <row r="2160" spans="1:27" s="1" customFormat="1">
      <c r="A2160"/>
      <c r="B2160"/>
      <c r="C2160"/>
      <c r="D2160"/>
      <c r="E2160"/>
      <c r="F2160"/>
      <c r="G2160"/>
      <c r="H2160"/>
      <c r="I2160"/>
      <c r="J2160" s="3"/>
      <c r="K2160" s="2"/>
      <c r="L2160" s="10"/>
      <c r="M2160" s="10"/>
      <c r="N2160" s="9"/>
      <c r="O2160" s="6"/>
      <c r="P2160" s="8"/>
      <c r="Q2160" s="6"/>
      <c r="R2160" s="8"/>
      <c r="S2160" s="6"/>
      <c r="T2160" s="8"/>
      <c r="U2160" s="7"/>
      <c r="V2160" s="7"/>
      <c r="W2160" s="6"/>
      <c r="X2160" s="2"/>
      <c r="Y2160" s="2"/>
      <c r="Z2160" s="2"/>
      <c r="AA2160" s="2"/>
    </row>
    <row r="2161" spans="1:27" s="1" customFormat="1">
      <c r="A2161"/>
      <c r="B2161"/>
      <c r="C2161"/>
      <c r="D2161"/>
      <c r="E2161"/>
      <c r="F2161"/>
      <c r="G2161"/>
      <c r="H2161"/>
      <c r="I2161"/>
      <c r="K2161" s="2"/>
      <c r="L2161" s="2"/>
      <c r="M2161" s="2"/>
      <c r="N2161" s="2"/>
      <c r="O2161" s="6"/>
      <c r="P2161" s="8"/>
      <c r="Q2161" s="6"/>
      <c r="R2161" s="8"/>
      <c r="S2161" s="6"/>
      <c r="T2161" s="8"/>
      <c r="U2161" s="7"/>
      <c r="V2161" s="7"/>
      <c r="W2161" s="6"/>
      <c r="X2161" s="2"/>
      <c r="Y2161" s="2"/>
      <c r="Z2161" s="2"/>
      <c r="AA2161" s="2"/>
    </row>
    <row r="2162" spans="1:27" s="1" customFormat="1">
      <c r="A2162"/>
      <c r="B2162"/>
      <c r="C2162"/>
      <c r="D2162"/>
      <c r="E2162"/>
      <c r="F2162"/>
      <c r="G2162"/>
      <c r="H2162"/>
      <c r="I2162"/>
      <c r="K2162" s="2"/>
      <c r="L2162" s="2"/>
      <c r="M2162" s="2"/>
      <c r="N2162" s="2"/>
      <c r="O2162" s="5"/>
      <c r="P2162" s="4"/>
      <c r="Q2162" s="2"/>
      <c r="R2162" s="2"/>
      <c r="S2162" s="2"/>
      <c r="T2162" s="2"/>
      <c r="U2162" s="2"/>
      <c r="V2162" s="2"/>
      <c r="W2162" s="2"/>
      <c r="X2162" s="2"/>
      <c r="Y2162" s="2"/>
      <c r="Z2162" s="2"/>
      <c r="AA2162" s="2"/>
    </row>
    <row r="2163" spans="1:27" s="1" customFormat="1">
      <c r="A2163"/>
      <c r="B2163"/>
      <c r="C2163"/>
      <c r="D2163"/>
      <c r="E2163"/>
      <c r="F2163"/>
      <c r="G2163"/>
      <c r="H2163"/>
      <c r="I2163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  <c r="X2163" s="2"/>
      <c r="Y2163" s="2"/>
      <c r="Z2163" s="2"/>
      <c r="AA2163" s="2"/>
    </row>
    <row r="2164" spans="1:27" s="1" customFormat="1">
      <c r="A2164"/>
      <c r="B2164"/>
      <c r="C2164"/>
      <c r="D2164"/>
      <c r="E2164"/>
      <c r="F2164"/>
      <c r="G2164"/>
      <c r="H2164"/>
      <c r="I2164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  <c r="X2164" s="2"/>
      <c r="Y2164" s="2"/>
      <c r="Z2164" s="2"/>
      <c r="AA2164" s="2"/>
    </row>
    <row r="2165" spans="1:27" s="1" customFormat="1">
      <c r="A2165"/>
      <c r="B2165"/>
      <c r="C2165"/>
      <c r="D2165"/>
      <c r="E2165"/>
      <c r="F2165"/>
      <c r="G2165"/>
      <c r="H2165"/>
      <c r="I2165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  <c r="X2165" s="2"/>
      <c r="Y2165" s="2"/>
      <c r="Z2165" s="2"/>
      <c r="AA2165" s="2"/>
    </row>
    <row r="2166" spans="1:27" s="1" customFormat="1">
      <c r="A2166"/>
      <c r="B2166"/>
      <c r="C2166"/>
      <c r="D2166"/>
      <c r="E2166"/>
      <c r="F2166"/>
      <c r="G2166"/>
      <c r="H2166"/>
      <c r="I2166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  <c r="X2166" s="2"/>
      <c r="Y2166" s="2"/>
      <c r="Z2166" s="2"/>
      <c r="AA2166" s="2"/>
    </row>
    <row r="2167" spans="1:27" s="1" customFormat="1">
      <c r="A2167"/>
      <c r="B2167"/>
      <c r="C2167"/>
      <c r="D2167"/>
      <c r="E2167"/>
      <c r="F2167"/>
      <c r="G2167"/>
      <c r="H2167"/>
      <c r="I2167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  <c r="X2167" s="2"/>
      <c r="Y2167" s="2"/>
      <c r="Z2167" s="2"/>
      <c r="AA2167" s="2"/>
    </row>
    <row r="2168" spans="1:27" s="1" customFormat="1">
      <c r="A2168"/>
      <c r="B2168"/>
      <c r="C2168"/>
      <c r="D2168"/>
      <c r="E2168"/>
      <c r="F2168"/>
      <c r="G2168"/>
      <c r="H2168"/>
      <c r="I2168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  <c r="X2168" s="2"/>
      <c r="Y2168" s="2"/>
      <c r="Z2168" s="2"/>
      <c r="AA2168" s="2"/>
    </row>
    <row r="2169" spans="1:27" s="1" customFormat="1">
      <c r="A2169"/>
      <c r="B2169"/>
      <c r="C2169"/>
      <c r="D2169"/>
      <c r="E2169"/>
      <c r="F2169"/>
      <c r="G2169"/>
      <c r="H2169"/>
      <c r="I2169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  <c r="X2169" s="2"/>
      <c r="Y2169" s="2"/>
      <c r="Z2169" s="2"/>
      <c r="AA2169" s="2"/>
    </row>
    <row r="2170" spans="1:27" s="1" customFormat="1">
      <c r="A2170"/>
      <c r="B2170"/>
      <c r="C2170"/>
      <c r="D2170"/>
      <c r="E2170"/>
      <c r="F2170"/>
      <c r="G2170"/>
      <c r="H2170"/>
      <c r="I2170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  <c r="X2170" s="2"/>
      <c r="Y2170" s="2"/>
      <c r="Z2170" s="2"/>
      <c r="AA2170" s="2"/>
    </row>
    <row r="2171" spans="1:27" s="1" customFormat="1">
      <c r="A2171"/>
      <c r="B2171"/>
      <c r="C2171"/>
      <c r="D2171"/>
      <c r="E2171"/>
      <c r="F2171"/>
      <c r="G2171"/>
      <c r="H2171"/>
      <c r="I2171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  <c r="X2171" s="2"/>
      <c r="Y2171" s="2"/>
      <c r="Z2171" s="2"/>
      <c r="AA2171" s="2"/>
    </row>
    <row r="2172" spans="1:27" s="1" customFormat="1">
      <c r="A2172"/>
      <c r="B2172"/>
      <c r="C2172"/>
      <c r="D2172"/>
      <c r="E2172"/>
      <c r="F2172"/>
      <c r="G2172"/>
      <c r="H2172"/>
      <c r="I217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  <c r="X2172" s="2"/>
      <c r="Y2172" s="2"/>
      <c r="Z2172" s="2"/>
      <c r="AA2172" s="2"/>
    </row>
    <row r="2173" spans="1:27" s="1" customFormat="1">
      <c r="A2173"/>
      <c r="B2173"/>
      <c r="C2173"/>
      <c r="D2173"/>
      <c r="E2173"/>
      <c r="F2173"/>
      <c r="G2173"/>
      <c r="H2173"/>
      <c r="I2173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  <c r="X2173" s="2"/>
      <c r="Y2173" s="2"/>
      <c r="Z2173" s="2"/>
      <c r="AA2173" s="2"/>
    </row>
    <row r="2174" spans="1:27" s="1" customFormat="1">
      <c r="A2174"/>
      <c r="B2174"/>
      <c r="C2174"/>
      <c r="D2174"/>
      <c r="E2174"/>
      <c r="F2174"/>
      <c r="G2174"/>
      <c r="H2174"/>
      <c r="I2174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  <c r="X2174" s="2"/>
      <c r="Y2174" s="2"/>
      <c r="Z2174" s="2"/>
      <c r="AA2174" s="2"/>
    </row>
    <row r="2175" spans="1:27" s="1" customFormat="1">
      <c r="A2175"/>
      <c r="B2175"/>
      <c r="C2175"/>
      <c r="D2175"/>
      <c r="E2175"/>
      <c r="F2175"/>
      <c r="G2175"/>
      <c r="H2175"/>
      <c r="I2175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  <c r="X2175" s="2"/>
      <c r="Y2175" s="2"/>
      <c r="Z2175" s="2"/>
      <c r="AA2175" s="2"/>
    </row>
    <row r="2176" spans="1:27" s="1" customFormat="1">
      <c r="A2176"/>
      <c r="B2176"/>
      <c r="C2176"/>
      <c r="D2176"/>
      <c r="E2176"/>
      <c r="F2176"/>
      <c r="G2176"/>
      <c r="H2176"/>
      <c r="I2176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  <c r="X2176" s="2"/>
      <c r="Y2176" s="2"/>
      <c r="Z2176" s="2"/>
      <c r="AA2176" s="2"/>
    </row>
    <row r="2177" spans="1:27" s="1" customFormat="1">
      <c r="A2177"/>
      <c r="B2177"/>
      <c r="C2177"/>
      <c r="D2177"/>
      <c r="E2177"/>
      <c r="F2177"/>
      <c r="G2177"/>
      <c r="H2177"/>
      <c r="I2177"/>
      <c r="J2177" s="3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  <c r="X2177" s="2"/>
      <c r="Y2177" s="2"/>
      <c r="Z2177" s="2"/>
      <c r="AA2177" s="2"/>
    </row>
    <row r="2178" spans="1:27" s="1" customFormat="1">
      <c r="A2178"/>
      <c r="B2178"/>
      <c r="C2178"/>
      <c r="D2178"/>
      <c r="E2178"/>
      <c r="F2178"/>
      <c r="G2178"/>
      <c r="H2178"/>
      <c r="I2178"/>
      <c r="J2178" s="3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  <c r="X2178" s="2"/>
      <c r="Y2178" s="2"/>
      <c r="Z2178" s="2"/>
      <c r="AA2178" s="2"/>
    </row>
    <row r="2179" spans="1:27" s="1" customFormat="1">
      <c r="A2179"/>
      <c r="B2179"/>
      <c r="C2179"/>
      <c r="D2179"/>
      <c r="E2179"/>
      <c r="F2179"/>
      <c r="G2179"/>
      <c r="H2179"/>
      <c r="I2179"/>
      <c r="J2179" s="3"/>
      <c r="K2179" s="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2"/>
      <c r="W2179" s="12"/>
      <c r="X2179" s="2"/>
      <c r="Y2179" s="2"/>
      <c r="Z2179" s="2"/>
      <c r="AA2179" s="2"/>
    </row>
    <row r="2180" spans="1:27" s="1" customFormat="1">
      <c r="A2180"/>
      <c r="B2180"/>
      <c r="C2180"/>
      <c r="D2180"/>
      <c r="E2180"/>
      <c r="F2180"/>
      <c r="G2180"/>
      <c r="H2180"/>
      <c r="I2180"/>
      <c r="J2180" s="3"/>
      <c r="K2180" s="2"/>
      <c r="L2180" s="14"/>
      <c r="M2180" s="14"/>
      <c r="N2180" s="14"/>
      <c r="O2180" s="12"/>
      <c r="P2180" s="12"/>
      <c r="Q2180" s="12"/>
      <c r="R2180" s="14"/>
      <c r="S2180" s="14"/>
      <c r="T2180" s="12"/>
      <c r="U2180" s="2"/>
      <c r="V2180" s="12"/>
      <c r="W2180" s="2"/>
      <c r="X2180" s="2"/>
      <c r="Y2180" s="2"/>
      <c r="Z2180" s="2"/>
      <c r="AA2180" s="2"/>
    </row>
    <row r="2181" spans="1:27" s="1" customFormat="1">
      <c r="A2181"/>
      <c r="B2181"/>
      <c r="C2181"/>
      <c r="D2181"/>
      <c r="E2181"/>
      <c r="F2181"/>
      <c r="G2181"/>
      <c r="H2181"/>
      <c r="I2181"/>
      <c r="J2181" s="3"/>
      <c r="K2181" s="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3"/>
      <c r="V2181" s="13"/>
      <c r="W2181" s="12"/>
      <c r="X2181" s="2"/>
      <c r="Y2181" s="2"/>
      <c r="Z2181" s="2"/>
      <c r="AA2181" s="2"/>
    </row>
    <row r="2182" spans="1:27" s="1" customFormat="1">
      <c r="A2182"/>
      <c r="B2182"/>
      <c r="C2182"/>
      <c r="D2182"/>
      <c r="E2182"/>
      <c r="F2182"/>
      <c r="G2182"/>
      <c r="H2182"/>
      <c r="I2182"/>
      <c r="J2182" s="3"/>
      <c r="K2182" s="2"/>
      <c r="L2182" s="10"/>
      <c r="M2182" s="10"/>
      <c r="N2182" s="9"/>
      <c r="O2182" s="6"/>
      <c r="P2182" s="8"/>
      <c r="Q2182" s="6"/>
      <c r="R2182" s="8"/>
      <c r="S2182" s="6"/>
      <c r="T2182" s="8"/>
      <c r="U2182" s="7"/>
      <c r="V2182" s="7"/>
      <c r="W2182" s="6"/>
      <c r="X2182" s="2"/>
      <c r="Y2182" s="2"/>
      <c r="Z2182" s="2"/>
      <c r="AA2182" s="2"/>
    </row>
    <row r="2183" spans="1:27" s="1" customFormat="1">
      <c r="A2183"/>
      <c r="B2183"/>
      <c r="C2183"/>
      <c r="D2183"/>
      <c r="E2183"/>
      <c r="F2183"/>
      <c r="G2183"/>
      <c r="H2183"/>
      <c r="I2183"/>
      <c r="J2183" s="3"/>
      <c r="K2183" s="11"/>
      <c r="L2183" s="10"/>
      <c r="M2183" s="10"/>
      <c r="N2183" s="9"/>
      <c r="O2183" s="6"/>
      <c r="P2183" s="8"/>
      <c r="Q2183" s="6"/>
      <c r="R2183" s="8"/>
      <c r="S2183" s="6"/>
      <c r="T2183" s="8"/>
      <c r="U2183" s="7"/>
      <c r="V2183" s="7"/>
      <c r="W2183" s="6"/>
      <c r="X2183" s="2"/>
      <c r="Y2183" s="2"/>
      <c r="Z2183" s="2"/>
      <c r="AA2183" s="2"/>
    </row>
    <row r="2184" spans="1:27" s="1" customFormat="1">
      <c r="A2184"/>
      <c r="B2184"/>
      <c r="C2184"/>
      <c r="D2184"/>
      <c r="E2184"/>
      <c r="F2184"/>
      <c r="G2184"/>
      <c r="H2184"/>
      <c r="I2184"/>
      <c r="J2184" s="3"/>
      <c r="K2184" s="2"/>
      <c r="L2184" s="10"/>
      <c r="M2184" s="10"/>
      <c r="N2184" s="9"/>
      <c r="O2184" s="6"/>
      <c r="P2184" s="8"/>
      <c r="Q2184" s="6"/>
      <c r="R2184" s="8"/>
      <c r="S2184" s="6"/>
      <c r="T2184" s="8"/>
      <c r="U2184" s="7"/>
      <c r="V2184" s="7"/>
      <c r="W2184" s="6"/>
      <c r="X2184" s="2"/>
      <c r="Y2184" s="2"/>
      <c r="Z2184" s="2"/>
      <c r="AA2184" s="2"/>
    </row>
    <row r="2185" spans="1:27" s="1" customFormat="1">
      <c r="A2185"/>
      <c r="B2185"/>
      <c r="C2185"/>
      <c r="D2185"/>
      <c r="E2185"/>
      <c r="F2185"/>
      <c r="G2185"/>
      <c r="H2185"/>
      <c r="I2185"/>
      <c r="J2185" s="3"/>
      <c r="K2185" s="2"/>
      <c r="L2185" s="10"/>
      <c r="M2185" s="10"/>
      <c r="N2185" s="9"/>
      <c r="O2185" s="6"/>
      <c r="P2185" s="8"/>
      <c r="Q2185" s="6"/>
      <c r="R2185" s="8"/>
      <c r="S2185" s="6"/>
      <c r="T2185" s="8"/>
      <c r="U2185" s="7"/>
      <c r="V2185" s="7"/>
      <c r="W2185" s="6"/>
      <c r="X2185" s="2"/>
      <c r="Y2185" s="2"/>
      <c r="Z2185" s="2"/>
      <c r="AA2185" s="2"/>
    </row>
    <row r="2186" spans="1:27" s="1" customFormat="1">
      <c r="A2186"/>
      <c r="B2186"/>
      <c r="C2186"/>
      <c r="D2186"/>
      <c r="E2186"/>
      <c r="F2186"/>
      <c r="G2186"/>
      <c r="H2186"/>
      <c r="I2186"/>
      <c r="J2186" s="3"/>
      <c r="K2186" s="2"/>
      <c r="L2186" s="2"/>
      <c r="M2186" s="2"/>
      <c r="N2186" s="2"/>
      <c r="O2186" s="6"/>
      <c r="P2186" s="8"/>
      <c r="Q2186" s="6"/>
      <c r="R2186" s="8"/>
      <c r="S2186" s="6"/>
      <c r="T2186" s="8"/>
      <c r="U2186" s="7"/>
      <c r="V2186" s="7"/>
      <c r="W2186" s="6"/>
      <c r="X2186" s="2"/>
      <c r="Y2186" s="2"/>
      <c r="Z2186" s="2"/>
      <c r="AA2186" s="2"/>
    </row>
    <row r="2187" spans="1:27" s="1" customFormat="1">
      <c r="A2187"/>
      <c r="B2187"/>
      <c r="C2187"/>
      <c r="D2187"/>
      <c r="E2187"/>
      <c r="F2187"/>
      <c r="G2187"/>
      <c r="H2187"/>
      <c r="I2187"/>
      <c r="J2187" s="3"/>
      <c r="K2187" s="2"/>
      <c r="L2187" s="2"/>
      <c r="M2187" s="2"/>
      <c r="N2187" s="2"/>
      <c r="O2187" s="5"/>
      <c r="P2187" s="4"/>
      <c r="Q2187" s="2"/>
      <c r="R2187" s="2"/>
      <c r="S2187" s="2"/>
      <c r="T2187" s="2"/>
      <c r="U2187" s="2"/>
      <c r="V2187" s="2"/>
      <c r="W2187" s="2"/>
      <c r="X2187" s="2"/>
      <c r="Y2187" s="2"/>
      <c r="Z2187" s="2"/>
      <c r="AA2187" s="2"/>
    </row>
    <row r="2188" spans="1:27" s="1" customFormat="1">
      <c r="A2188"/>
      <c r="B2188"/>
      <c r="C2188"/>
      <c r="D2188"/>
      <c r="E2188"/>
      <c r="F2188"/>
      <c r="G2188"/>
      <c r="H2188"/>
      <c r="I2188"/>
      <c r="J2188" s="3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  <c r="X2188" s="2"/>
      <c r="Y2188" s="2"/>
      <c r="Z2188" s="2"/>
      <c r="AA2188" s="2"/>
    </row>
    <row r="2189" spans="1:27" s="1" customFormat="1">
      <c r="A2189"/>
      <c r="B2189"/>
      <c r="C2189"/>
      <c r="D2189"/>
      <c r="E2189"/>
      <c r="F2189"/>
      <c r="G2189"/>
      <c r="H2189"/>
      <c r="I2189"/>
      <c r="J2189" s="3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  <c r="X2189" s="2"/>
      <c r="Y2189" s="2"/>
      <c r="Z2189" s="2"/>
      <c r="AA2189" s="2"/>
    </row>
    <row r="2190" spans="1:27" s="1" customFormat="1">
      <c r="A2190"/>
      <c r="B2190"/>
      <c r="C2190"/>
      <c r="D2190"/>
      <c r="E2190"/>
      <c r="F2190"/>
      <c r="G2190"/>
      <c r="H2190"/>
      <c r="I2190"/>
      <c r="J2190" s="3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  <c r="X2190" s="2"/>
      <c r="Y2190" s="2"/>
      <c r="Z2190" s="2"/>
      <c r="AA2190" s="2"/>
    </row>
    <row r="2191" spans="1:27" s="1" customFormat="1">
      <c r="A2191"/>
      <c r="B2191"/>
      <c r="C2191"/>
      <c r="D2191"/>
      <c r="E2191"/>
      <c r="F2191"/>
      <c r="G2191"/>
      <c r="H2191"/>
      <c r="I2191"/>
      <c r="J2191" s="3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  <c r="X2191" s="2"/>
      <c r="Y2191" s="2"/>
      <c r="Z2191" s="2"/>
      <c r="AA2191" s="2"/>
    </row>
    <row r="2192" spans="1:27" s="1" customFormat="1">
      <c r="A2192"/>
      <c r="B2192"/>
      <c r="C2192"/>
      <c r="D2192"/>
      <c r="E2192"/>
      <c r="F2192"/>
      <c r="G2192"/>
      <c r="H2192"/>
      <c r="I2192"/>
      <c r="J2192" s="3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  <c r="X2192" s="2"/>
      <c r="Y2192" s="2"/>
      <c r="Z2192" s="2"/>
      <c r="AA2192" s="2"/>
    </row>
    <row r="2193" spans="1:27" s="1" customFormat="1">
      <c r="A2193"/>
      <c r="B2193"/>
      <c r="C2193"/>
      <c r="D2193"/>
      <c r="E2193"/>
      <c r="F2193"/>
      <c r="G2193"/>
      <c r="H2193"/>
      <c r="I2193"/>
      <c r="J2193" s="3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  <c r="X2193" s="2"/>
      <c r="Y2193" s="2"/>
      <c r="Z2193" s="2"/>
      <c r="AA2193" s="2"/>
    </row>
    <row r="2194" spans="1:27" s="1" customFormat="1">
      <c r="A2194"/>
      <c r="B2194"/>
      <c r="C2194"/>
      <c r="D2194"/>
      <c r="E2194"/>
      <c r="F2194"/>
      <c r="G2194"/>
      <c r="H2194"/>
      <c r="I2194"/>
      <c r="J2194" s="3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  <c r="X2194" s="2"/>
      <c r="Y2194" s="2"/>
      <c r="Z2194" s="2"/>
      <c r="AA2194" s="2"/>
    </row>
    <row r="2195" spans="1:27" s="1" customFormat="1">
      <c r="A2195"/>
      <c r="B2195"/>
      <c r="C2195"/>
      <c r="D2195"/>
      <c r="E2195"/>
      <c r="F2195"/>
      <c r="G2195"/>
      <c r="H2195"/>
      <c r="I2195"/>
      <c r="J2195" s="3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  <c r="X2195" s="2"/>
      <c r="Y2195" s="2"/>
      <c r="Z2195" s="2"/>
      <c r="AA2195" s="2"/>
    </row>
    <row r="2196" spans="1:27" s="1" customFormat="1">
      <c r="A2196"/>
      <c r="B2196"/>
      <c r="C2196"/>
      <c r="D2196"/>
      <c r="E2196"/>
      <c r="F2196"/>
      <c r="G2196"/>
      <c r="H2196"/>
      <c r="I2196"/>
      <c r="J2196" s="3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  <c r="X2196" s="2"/>
      <c r="Y2196" s="2"/>
      <c r="Z2196" s="2"/>
      <c r="AA2196" s="2"/>
    </row>
    <row r="2197" spans="1:27" s="1" customFormat="1">
      <c r="A2197"/>
      <c r="B2197"/>
      <c r="C2197"/>
      <c r="D2197"/>
      <c r="E2197"/>
      <c r="F2197"/>
      <c r="G2197"/>
      <c r="H2197"/>
      <c r="I2197"/>
      <c r="J2197" s="3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  <c r="X2197" s="2"/>
      <c r="Y2197" s="2"/>
      <c r="Z2197" s="2"/>
      <c r="AA2197" s="2"/>
    </row>
    <row r="2198" spans="1:27" s="1" customFormat="1">
      <c r="A2198"/>
      <c r="B2198"/>
      <c r="C2198"/>
      <c r="D2198"/>
      <c r="E2198"/>
      <c r="F2198"/>
      <c r="G2198"/>
      <c r="H2198"/>
      <c r="I2198"/>
      <c r="J2198" s="3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  <c r="X2198" s="2"/>
      <c r="Y2198" s="2"/>
      <c r="Z2198" s="2"/>
      <c r="AA2198" s="2"/>
    </row>
    <row r="2199" spans="1:27" s="1" customFormat="1">
      <c r="A2199"/>
      <c r="B2199"/>
      <c r="C2199"/>
      <c r="D2199"/>
      <c r="E2199"/>
      <c r="F2199"/>
      <c r="G2199"/>
      <c r="H2199"/>
      <c r="I2199"/>
      <c r="J2199" s="3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  <c r="X2199" s="2"/>
      <c r="Y2199" s="2"/>
      <c r="Z2199" s="2"/>
      <c r="AA2199" s="2"/>
    </row>
    <row r="2200" spans="1:27" s="1" customFormat="1">
      <c r="A2200"/>
      <c r="B2200"/>
      <c r="C2200"/>
      <c r="D2200"/>
      <c r="E2200"/>
      <c r="F2200"/>
      <c r="G2200"/>
      <c r="H2200"/>
      <c r="I2200"/>
      <c r="J2200" s="3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  <c r="X2200" s="2"/>
      <c r="Y2200" s="2"/>
      <c r="Z2200" s="2"/>
      <c r="AA2200" s="2"/>
    </row>
    <row r="2201" spans="1:27" s="1" customFormat="1">
      <c r="A2201"/>
      <c r="B2201"/>
      <c r="C2201"/>
      <c r="D2201"/>
      <c r="E2201"/>
      <c r="F2201"/>
      <c r="G2201"/>
      <c r="H2201"/>
      <c r="I2201"/>
      <c r="J2201" s="3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  <c r="X2201" s="2"/>
      <c r="Y2201" s="2"/>
      <c r="Z2201" s="2"/>
      <c r="AA2201" s="2"/>
    </row>
    <row r="2202" spans="1:27" s="1" customFormat="1">
      <c r="A2202"/>
      <c r="B2202"/>
      <c r="C2202"/>
      <c r="D2202"/>
      <c r="E2202"/>
      <c r="F2202"/>
      <c r="G2202"/>
      <c r="H2202"/>
      <c r="I2202"/>
      <c r="J2202" s="3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  <c r="X2202" s="2"/>
      <c r="Y2202" s="2"/>
      <c r="Z2202" s="2"/>
      <c r="AA2202" s="2"/>
    </row>
    <row r="2203" spans="1:27" s="1" customFormat="1">
      <c r="A2203"/>
      <c r="B2203"/>
      <c r="C2203"/>
      <c r="D2203"/>
      <c r="E2203"/>
      <c r="F2203"/>
      <c r="G2203"/>
      <c r="H2203"/>
      <c r="I2203"/>
      <c r="J2203" s="3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  <c r="X2203" s="2"/>
      <c r="Y2203" s="2"/>
      <c r="Z2203" s="2"/>
      <c r="AA2203" s="2"/>
    </row>
    <row r="2204" spans="1:27" s="1" customFormat="1">
      <c r="A2204"/>
      <c r="B2204"/>
      <c r="C2204"/>
      <c r="D2204"/>
      <c r="E2204"/>
      <c r="F2204"/>
      <c r="G2204"/>
      <c r="H2204"/>
      <c r="I2204"/>
      <c r="J2204" s="3"/>
      <c r="K2204" s="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2"/>
      <c r="W2204" s="12"/>
      <c r="X2204" s="2"/>
      <c r="Y2204" s="2"/>
      <c r="Z2204" s="2"/>
      <c r="AA2204" s="2"/>
    </row>
    <row r="2205" spans="1:27" s="1" customFormat="1">
      <c r="A2205"/>
      <c r="B2205"/>
      <c r="C2205"/>
      <c r="D2205"/>
      <c r="E2205"/>
      <c r="F2205"/>
      <c r="G2205"/>
      <c r="H2205"/>
      <c r="I2205"/>
      <c r="J2205" s="3"/>
      <c r="K2205" s="2"/>
      <c r="L2205" s="14"/>
      <c r="M2205" s="14"/>
      <c r="N2205" s="14"/>
      <c r="O2205" s="12"/>
      <c r="P2205" s="12"/>
      <c r="Q2205" s="12"/>
      <c r="R2205" s="14"/>
      <c r="S2205" s="14"/>
      <c r="T2205" s="12"/>
      <c r="U2205" s="2"/>
      <c r="V2205" s="12"/>
      <c r="W2205" s="2"/>
      <c r="X2205" s="2"/>
      <c r="Y2205" s="2"/>
      <c r="Z2205" s="2"/>
      <c r="AA2205" s="2"/>
    </row>
    <row r="2206" spans="1:27" s="1" customFormat="1">
      <c r="A2206"/>
      <c r="B2206"/>
      <c r="C2206"/>
      <c r="D2206"/>
      <c r="E2206"/>
      <c r="F2206"/>
      <c r="G2206"/>
      <c r="H2206"/>
      <c r="I2206"/>
      <c r="J2206" s="3"/>
      <c r="K2206" s="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3"/>
      <c r="V2206" s="13"/>
      <c r="W2206" s="12"/>
      <c r="X2206" s="2"/>
      <c r="Y2206" s="2"/>
      <c r="Z2206" s="2"/>
      <c r="AA2206" s="2"/>
    </row>
    <row r="2207" spans="1:27" s="1" customFormat="1">
      <c r="A2207"/>
      <c r="B2207"/>
      <c r="C2207"/>
      <c r="D2207"/>
      <c r="E2207"/>
      <c r="F2207"/>
      <c r="G2207"/>
      <c r="H2207"/>
      <c r="I2207"/>
      <c r="J2207" s="3"/>
      <c r="K2207" s="2"/>
      <c r="L2207" s="10"/>
      <c r="M2207" s="10"/>
      <c r="N2207" s="9"/>
      <c r="O2207" s="6"/>
      <c r="P2207" s="8"/>
      <c r="Q2207" s="6"/>
      <c r="R2207" s="8"/>
      <c r="S2207" s="6"/>
      <c r="T2207" s="8"/>
      <c r="U2207" s="7"/>
      <c r="V2207" s="7"/>
      <c r="W2207" s="6"/>
      <c r="X2207" s="2"/>
      <c r="Y2207" s="2"/>
      <c r="Z2207" s="2"/>
      <c r="AA2207" s="2"/>
    </row>
    <row r="2208" spans="1:27" s="1" customFormat="1">
      <c r="A2208"/>
      <c r="B2208"/>
      <c r="C2208"/>
      <c r="D2208"/>
      <c r="E2208"/>
      <c r="F2208"/>
      <c r="G2208"/>
      <c r="H2208"/>
      <c r="I2208"/>
      <c r="J2208" s="3"/>
      <c r="K2208" s="11"/>
      <c r="L2208" s="10"/>
      <c r="M2208" s="10"/>
      <c r="N2208" s="9"/>
      <c r="O2208" s="6"/>
      <c r="P2208" s="8"/>
      <c r="Q2208" s="6"/>
      <c r="R2208" s="8"/>
      <c r="S2208" s="6"/>
      <c r="T2208" s="8"/>
      <c r="U2208" s="7"/>
      <c r="V2208" s="7"/>
      <c r="W2208" s="6"/>
      <c r="X2208" s="2"/>
      <c r="Y2208" s="2"/>
      <c r="Z2208" s="2"/>
      <c r="AA2208" s="2"/>
    </row>
    <row r="2209" spans="1:27" s="1" customFormat="1">
      <c r="A2209"/>
      <c r="B2209"/>
      <c r="C2209"/>
      <c r="D2209"/>
      <c r="E2209"/>
      <c r="F2209"/>
      <c r="G2209"/>
      <c r="H2209"/>
      <c r="I2209"/>
      <c r="K2209" s="2"/>
      <c r="L2209" s="10"/>
      <c r="M2209" s="10"/>
      <c r="N2209" s="9"/>
      <c r="O2209" s="6"/>
      <c r="P2209" s="8"/>
      <c r="Q2209" s="6"/>
      <c r="R2209" s="8"/>
      <c r="S2209" s="6"/>
      <c r="T2209" s="8"/>
      <c r="U2209" s="7"/>
      <c r="V2209" s="7"/>
      <c r="W2209" s="6"/>
      <c r="X2209" s="2"/>
      <c r="Y2209" s="2"/>
      <c r="Z2209" s="2"/>
      <c r="AA2209" s="2"/>
    </row>
    <row r="2210" spans="1:27" s="1" customFormat="1">
      <c r="A2210"/>
      <c r="B2210"/>
      <c r="C2210"/>
      <c r="D2210"/>
      <c r="E2210"/>
      <c r="F2210"/>
      <c r="G2210"/>
      <c r="H2210"/>
      <c r="I2210"/>
      <c r="K2210" s="2"/>
      <c r="L2210" s="10"/>
      <c r="M2210" s="10"/>
      <c r="N2210" s="9"/>
      <c r="O2210" s="6"/>
      <c r="P2210" s="8"/>
      <c r="Q2210" s="6"/>
      <c r="R2210" s="8"/>
      <c r="S2210" s="6"/>
      <c r="T2210" s="8"/>
      <c r="U2210" s="7"/>
      <c r="V2210" s="7"/>
      <c r="W2210" s="6"/>
      <c r="X2210" s="2"/>
      <c r="Y2210" s="2"/>
      <c r="Z2210" s="2"/>
      <c r="AA2210" s="2"/>
    </row>
    <row r="2211" spans="1:27" s="1" customFormat="1">
      <c r="A2211"/>
      <c r="B2211"/>
      <c r="C2211"/>
      <c r="D2211"/>
      <c r="E2211"/>
      <c r="F2211"/>
      <c r="G2211"/>
      <c r="H2211"/>
      <c r="I2211"/>
      <c r="K2211" s="2"/>
      <c r="L2211" s="2"/>
      <c r="M2211" s="2"/>
      <c r="N2211" s="2"/>
      <c r="O2211" s="6"/>
      <c r="P2211" s="8"/>
      <c r="Q2211" s="6"/>
      <c r="R2211" s="8"/>
      <c r="S2211" s="6"/>
      <c r="T2211" s="8"/>
      <c r="U2211" s="7"/>
      <c r="V2211" s="7"/>
      <c r="W2211" s="6"/>
      <c r="X2211" s="2"/>
      <c r="Y2211" s="2"/>
      <c r="Z2211" s="2"/>
      <c r="AA2211" s="2"/>
    </row>
    <row r="2212" spans="1:27" s="1" customFormat="1">
      <c r="A2212"/>
      <c r="B2212"/>
      <c r="C2212"/>
      <c r="D2212"/>
      <c r="E2212"/>
      <c r="F2212"/>
      <c r="G2212"/>
      <c r="H2212"/>
      <c r="I2212"/>
      <c r="K2212" s="2"/>
      <c r="L2212" s="2"/>
      <c r="M2212" s="2"/>
      <c r="N2212" s="2"/>
      <c r="O2212" s="5"/>
      <c r="P2212" s="4"/>
      <c r="Q2212" s="2"/>
      <c r="R2212" s="2"/>
      <c r="S2212" s="2"/>
      <c r="T2212" s="2"/>
      <c r="U2212" s="2"/>
      <c r="V2212" s="2"/>
      <c r="W2212" s="2"/>
      <c r="X2212" s="2"/>
      <c r="Y2212" s="2"/>
      <c r="Z2212" s="2"/>
      <c r="AA2212" s="2"/>
    </row>
    <row r="2213" spans="1:27" s="1" customFormat="1">
      <c r="A2213"/>
      <c r="B2213"/>
      <c r="C2213"/>
      <c r="D2213"/>
      <c r="E2213"/>
      <c r="F2213"/>
      <c r="G2213"/>
      <c r="H2213"/>
      <c r="I2213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  <c r="X2213" s="2"/>
      <c r="Y2213" s="2"/>
      <c r="Z2213" s="2"/>
      <c r="AA2213" s="2"/>
    </row>
    <row r="2214" spans="1:27" s="1" customFormat="1">
      <c r="A2214"/>
      <c r="B2214"/>
      <c r="C2214"/>
      <c r="D2214"/>
      <c r="E2214"/>
      <c r="F2214"/>
      <c r="G2214"/>
      <c r="H2214"/>
      <c r="I2214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  <c r="X2214" s="2"/>
      <c r="Y2214" s="2"/>
      <c r="Z2214" s="2"/>
      <c r="AA2214" s="2"/>
    </row>
    <row r="2215" spans="1:27" s="1" customFormat="1">
      <c r="A2215"/>
      <c r="B2215"/>
      <c r="C2215"/>
      <c r="D2215"/>
      <c r="E2215"/>
      <c r="F2215"/>
      <c r="G2215"/>
      <c r="H2215"/>
      <c r="I2215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  <c r="X2215" s="2"/>
      <c r="Y2215" s="2"/>
      <c r="Z2215" s="2"/>
      <c r="AA2215" s="2"/>
    </row>
    <row r="2216" spans="1:27" s="1" customFormat="1">
      <c r="A2216"/>
      <c r="B2216"/>
      <c r="C2216"/>
      <c r="D2216"/>
      <c r="E2216"/>
      <c r="F2216"/>
      <c r="G2216"/>
      <c r="H2216"/>
      <c r="I2216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  <c r="X2216" s="2"/>
      <c r="Y2216" s="2"/>
      <c r="Z2216" s="2"/>
      <c r="AA2216" s="2"/>
    </row>
    <row r="2217" spans="1:27" s="1" customFormat="1">
      <c r="A2217"/>
      <c r="B2217"/>
      <c r="C2217"/>
      <c r="D2217"/>
      <c r="E2217"/>
      <c r="F2217"/>
      <c r="G2217"/>
      <c r="H2217"/>
      <c r="I2217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  <c r="X2217" s="2"/>
      <c r="Y2217" s="2"/>
      <c r="Z2217" s="2"/>
      <c r="AA2217" s="2"/>
    </row>
    <row r="2218" spans="1:27" s="1" customFormat="1">
      <c r="A2218"/>
      <c r="B2218"/>
      <c r="C2218"/>
      <c r="D2218"/>
      <c r="E2218"/>
      <c r="F2218"/>
      <c r="G2218"/>
      <c r="H2218"/>
      <c r="I2218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  <c r="X2218" s="2"/>
      <c r="Y2218" s="2"/>
      <c r="Z2218" s="2"/>
      <c r="AA2218" s="2"/>
    </row>
    <row r="2219" spans="1:27" s="1" customFormat="1">
      <c r="A2219"/>
      <c r="B2219"/>
      <c r="C2219"/>
      <c r="D2219"/>
      <c r="E2219"/>
      <c r="F2219"/>
      <c r="G2219"/>
      <c r="H2219"/>
      <c r="I2219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  <c r="X2219" s="2"/>
      <c r="Y2219" s="2"/>
      <c r="Z2219" s="2"/>
      <c r="AA2219" s="2"/>
    </row>
    <row r="2220" spans="1:27" s="1" customFormat="1">
      <c r="A2220"/>
      <c r="B2220"/>
      <c r="C2220"/>
      <c r="D2220"/>
      <c r="E2220"/>
      <c r="F2220"/>
      <c r="G2220"/>
      <c r="H2220"/>
      <c r="I2220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  <c r="X2220" s="2"/>
      <c r="Y2220" s="2"/>
      <c r="Z2220" s="2"/>
      <c r="AA2220" s="2"/>
    </row>
    <row r="2221" spans="1:27" s="1" customFormat="1">
      <c r="A2221"/>
      <c r="B2221"/>
      <c r="C2221"/>
      <c r="D2221"/>
      <c r="E2221"/>
      <c r="F2221"/>
      <c r="G2221"/>
      <c r="H2221"/>
      <c r="I2221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  <c r="X2221" s="2"/>
      <c r="Y2221" s="2"/>
      <c r="Z2221" s="2"/>
      <c r="AA2221" s="2"/>
    </row>
    <row r="2222" spans="1:27" s="1" customFormat="1">
      <c r="A2222"/>
      <c r="B2222"/>
      <c r="C2222"/>
      <c r="D2222"/>
      <c r="E2222"/>
      <c r="F2222"/>
      <c r="G2222"/>
      <c r="H2222"/>
      <c r="I222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  <c r="X2222" s="2"/>
      <c r="Y2222" s="2"/>
      <c r="Z2222" s="2"/>
      <c r="AA2222" s="2"/>
    </row>
    <row r="2223" spans="1:27" s="1" customFormat="1">
      <c r="A2223"/>
      <c r="B2223"/>
      <c r="C2223"/>
      <c r="D2223"/>
      <c r="E2223"/>
      <c r="F2223"/>
      <c r="G2223"/>
      <c r="H2223"/>
      <c r="I2223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  <c r="X2223" s="2"/>
      <c r="Y2223" s="2"/>
      <c r="Z2223" s="2"/>
      <c r="AA2223" s="2"/>
    </row>
    <row r="2224" spans="1:27" s="1" customFormat="1">
      <c r="A2224"/>
      <c r="B2224"/>
      <c r="C2224"/>
      <c r="D2224"/>
      <c r="E2224"/>
      <c r="F2224"/>
      <c r="G2224"/>
      <c r="H2224"/>
      <c r="I2224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  <c r="X2224" s="2"/>
      <c r="Y2224" s="2"/>
      <c r="Z2224" s="2"/>
      <c r="AA2224" s="2"/>
    </row>
    <row r="2225" spans="1:27" s="1" customFormat="1">
      <c r="A2225"/>
      <c r="B2225"/>
      <c r="C2225"/>
      <c r="D2225"/>
      <c r="E2225"/>
      <c r="F2225"/>
      <c r="G2225"/>
      <c r="H2225"/>
      <c r="I2225"/>
      <c r="J2225" s="3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  <c r="X2225" s="2"/>
      <c r="Y2225" s="2"/>
      <c r="Z2225" s="2"/>
      <c r="AA2225" s="2"/>
    </row>
    <row r="2226" spans="1:27" s="1" customFormat="1">
      <c r="A2226"/>
      <c r="B2226"/>
      <c r="C2226"/>
      <c r="D2226"/>
      <c r="E2226"/>
      <c r="F2226"/>
      <c r="G2226"/>
      <c r="H2226"/>
      <c r="I2226"/>
      <c r="J2226" s="3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  <c r="X2226" s="2"/>
      <c r="Y2226" s="2"/>
      <c r="Z2226" s="2"/>
      <c r="AA2226" s="2"/>
    </row>
    <row r="2227" spans="1:27" s="1" customFormat="1">
      <c r="A2227"/>
      <c r="B2227"/>
      <c r="C2227"/>
      <c r="D2227"/>
      <c r="E2227"/>
      <c r="F2227"/>
      <c r="G2227"/>
      <c r="H2227"/>
      <c r="I2227"/>
      <c r="J2227" s="3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  <c r="X2227" s="2"/>
      <c r="Y2227" s="2"/>
      <c r="Z2227" s="2"/>
      <c r="AA2227" s="2"/>
    </row>
    <row r="2228" spans="1:27" s="1" customFormat="1">
      <c r="A2228"/>
      <c r="B2228"/>
      <c r="C2228"/>
      <c r="D2228"/>
      <c r="E2228"/>
      <c r="F2228"/>
      <c r="G2228"/>
      <c r="H2228"/>
      <c r="I2228"/>
      <c r="J2228" s="3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  <c r="X2228" s="2"/>
      <c r="Y2228" s="2"/>
      <c r="Z2228" s="2"/>
      <c r="AA2228" s="2"/>
    </row>
    <row r="2229" spans="1:27" s="1" customFormat="1">
      <c r="A2229"/>
      <c r="B2229"/>
      <c r="C2229"/>
      <c r="D2229"/>
      <c r="E2229"/>
      <c r="F2229"/>
      <c r="G2229"/>
      <c r="H2229"/>
      <c r="I2229"/>
      <c r="J2229" s="3"/>
      <c r="K2229" s="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2"/>
      <c r="W2229" s="12"/>
      <c r="X2229" s="2"/>
      <c r="Y2229" s="2"/>
      <c r="Z2229" s="2"/>
      <c r="AA2229" s="2"/>
    </row>
    <row r="2230" spans="1:27" s="1" customFormat="1">
      <c r="A2230"/>
      <c r="B2230"/>
      <c r="C2230"/>
      <c r="D2230"/>
      <c r="E2230"/>
      <c r="F2230"/>
      <c r="G2230"/>
      <c r="H2230"/>
      <c r="I2230"/>
      <c r="J2230" s="3"/>
      <c r="K2230" s="2"/>
      <c r="L2230" s="14"/>
      <c r="M2230" s="14"/>
      <c r="N2230" s="14"/>
      <c r="O2230" s="12"/>
      <c r="P2230" s="12"/>
      <c r="Q2230" s="12"/>
      <c r="R2230" s="14"/>
      <c r="S2230" s="14"/>
      <c r="T2230" s="12"/>
      <c r="U2230" s="2"/>
      <c r="V2230" s="12"/>
      <c r="W2230" s="2"/>
      <c r="X2230" s="2"/>
      <c r="Y2230" s="2"/>
      <c r="Z2230" s="2"/>
      <c r="AA2230" s="2"/>
    </row>
    <row r="2231" spans="1:27" s="1" customFormat="1">
      <c r="A2231"/>
      <c r="B2231"/>
      <c r="C2231"/>
      <c r="D2231"/>
      <c r="E2231"/>
      <c r="F2231"/>
      <c r="G2231"/>
      <c r="H2231"/>
      <c r="I2231"/>
      <c r="J2231" s="3"/>
      <c r="K2231" s="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3"/>
      <c r="V2231" s="13"/>
      <c r="W2231" s="12"/>
      <c r="X2231" s="2"/>
      <c r="Y2231" s="2"/>
      <c r="Z2231" s="2"/>
      <c r="AA2231" s="2"/>
    </row>
    <row r="2232" spans="1:27" s="1" customFormat="1">
      <c r="A2232"/>
      <c r="B2232"/>
      <c r="C2232"/>
      <c r="D2232"/>
      <c r="E2232"/>
      <c r="F2232"/>
      <c r="G2232"/>
      <c r="H2232"/>
      <c r="I2232"/>
      <c r="J2232" s="3"/>
      <c r="K2232" s="2"/>
      <c r="L2232" s="10"/>
      <c r="M2232" s="10"/>
      <c r="N2232" s="9"/>
      <c r="O2232" s="6"/>
      <c r="P2232" s="8"/>
      <c r="Q2232" s="6"/>
      <c r="R2232" s="8"/>
      <c r="S2232" s="6"/>
      <c r="T2232" s="8"/>
      <c r="U2232" s="7"/>
      <c r="V2232" s="7"/>
      <c r="W2232" s="6"/>
      <c r="X2232" s="2"/>
      <c r="Y2232" s="2"/>
      <c r="Z2232" s="2"/>
      <c r="AA2232" s="2"/>
    </row>
    <row r="2233" spans="1:27" s="1" customFormat="1">
      <c r="A2233"/>
      <c r="B2233"/>
      <c r="C2233"/>
      <c r="D2233"/>
      <c r="E2233"/>
      <c r="F2233"/>
      <c r="G2233"/>
      <c r="H2233"/>
      <c r="I2233"/>
      <c r="J2233" s="3"/>
      <c r="K2233" s="11"/>
      <c r="L2233" s="10"/>
      <c r="M2233" s="10"/>
      <c r="N2233" s="9"/>
      <c r="O2233" s="6"/>
      <c r="P2233" s="8"/>
      <c r="Q2233" s="6"/>
      <c r="R2233" s="8"/>
      <c r="S2233" s="6"/>
      <c r="T2233" s="8"/>
      <c r="U2233" s="7"/>
      <c r="V2233" s="7"/>
      <c r="W2233" s="6"/>
      <c r="X2233" s="2"/>
      <c r="Y2233" s="2"/>
      <c r="Z2233" s="2"/>
      <c r="AA2233" s="2"/>
    </row>
    <row r="2234" spans="1:27" s="1" customFormat="1">
      <c r="A2234"/>
      <c r="B2234"/>
      <c r="C2234"/>
      <c r="D2234"/>
      <c r="E2234"/>
      <c r="F2234"/>
      <c r="G2234"/>
      <c r="H2234"/>
      <c r="I2234"/>
      <c r="J2234" s="3"/>
      <c r="K2234" s="2"/>
      <c r="L2234" s="10"/>
      <c r="M2234" s="10"/>
      <c r="N2234" s="9"/>
      <c r="O2234" s="6"/>
      <c r="P2234" s="8"/>
      <c r="Q2234" s="6"/>
      <c r="R2234" s="8"/>
      <c r="S2234" s="6"/>
      <c r="T2234" s="8"/>
      <c r="U2234" s="7"/>
      <c r="V2234" s="7"/>
      <c r="W2234" s="6"/>
      <c r="X2234" s="2"/>
      <c r="Y2234" s="2"/>
      <c r="Z2234" s="2"/>
      <c r="AA2234" s="2"/>
    </row>
    <row r="2235" spans="1:27" s="1" customFormat="1">
      <c r="A2235"/>
      <c r="B2235"/>
      <c r="C2235"/>
      <c r="D2235"/>
      <c r="E2235"/>
      <c r="F2235"/>
      <c r="G2235"/>
      <c r="H2235"/>
      <c r="I2235"/>
      <c r="J2235" s="3"/>
      <c r="K2235" s="2"/>
      <c r="L2235" s="10"/>
      <c r="M2235" s="10"/>
      <c r="N2235" s="9"/>
      <c r="O2235" s="6"/>
      <c r="P2235" s="8"/>
      <c r="Q2235" s="6"/>
      <c r="R2235" s="8"/>
      <c r="S2235" s="6"/>
      <c r="T2235" s="8"/>
      <c r="U2235" s="7"/>
      <c r="V2235" s="7"/>
      <c r="W2235" s="6"/>
      <c r="X2235" s="2"/>
      <c r="Y2235" s="2"/>
      <c r="Z2235" s="2"/>
      <c r="AA2235" s="2"/>
    </row>
    <row r="2236" spans="1:27" s="1" customFormat="1">
      <c r="A2236"/>
      <c r="B2236"/>
      <c r="C2236"/>
      <c r="D2236"/>
      <c r="E2236"/>
      <c r="F2236"/>
      <c r="G2236"/>
      <c r="H2236"/>
      <c r="I2236"/>
      <c r="J2236" s="3"/>
      <c r="K2236" s="2"/>
      <c r="L2236" s="2"/>
      <c r="M2236" s="2"/>
      <c r="N2236" s="2"/>
      <c r="O2236" s="6"/>
      <c r="P2236" s="8"/>
      <c r="Q2236" s="6"/>
      <c r="R2236" s="8"/>
      <c r="S2236" s="6"/>
      <c r="T2236" s="8"/>
      <c r="U2236" s="7"/>
      <c r="V2236" s="7"/>
      <c r="W2236" s="6"/>
      <c r="X2236" s="2"/>
      <c r="Y2236" s="2"/>
      <c r="Z2236" s="2"/>
      <c r="AA2236" s="2"/>
    </row>
    <row r="2237" spans="1:27" s="1" customFormat="1">
      <c r="A2237"/>
      <c r="B2237"/>
      <c r="C2237"/>
      <c r="D2237"/>
      <c r="E2237"/>
      <c r="F2237"/>
      <c r="G2237"/>
      <c r="H2237"/>
      <c r="I2237"/>
      <c r="J2237" s="3"/>
      <c r="K2237" s="2"/>
      <c r="L2237" s="2"/>
      <c r="M2237" s="2"/>
      <c r="N2237" s="2"/>
      <c r="O2237" s="5"/>
      <c r="P2237" s="4"/>
      <c r="Q2237" s="2"/>
      <c r="R2237" s="2"/>
      <c r="S2237" s="2"/>
      <c r="T2237" s="2"/>
      <c r="U2237" s="2"/>
      <c r="V2237" s="2"/>
      <c r="W2237" s="2"/>
      <c r="X2237" s="2"/>
      <c r="Y2237" s="2"/>
      <c r="Z2237" s="2"/>
      <c r="AA2237" s="2"/>
    </row>
    <row r="2238" spans="1:27" s="1" customFormat="1">
      <c r="A2238"/>
      <c r="B2238"/>
      <c r="C2238"/>
      <c r="D2238"/>
      <c r="E2238"/>
      <c r="F2238"/>
      <c r="G2238"/>
      <c r="H2238"/>
      <c r="I2238"/>
      <c r="J2238" s="3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  <c r="X2238" s="2"/>
      <c r="Y2238" s="2"/>
      <c r="Z2238" s="2"/>
      <c r="AA2238" s="2"/>
    </row>
    <row r="2239" spans="1:27" s="1" customFormat="1">
      <c r="A2239"/>
      <c r="B2239"/>
      <c r="C2239"/>
      <c r="D2239"/>
      <c r="E2239"/>
      <c r="F2239"/>
      <c r="G2239"/>
      <c r="H2239"/>
      <c r="I2239"/>
      <c r="J2239" s="3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  <c r="X2239" s="2"/>
      <c r="Y2239" s="2"/>
      <c r="Z2239" s="2"/>
      <c r="AA2239" s="2"/>
    </row>
    <row r="2240" spans="1:27" s="1" customFormat="1">
      <c r="A2240"/>
      <c r="B2240"/>
      <c r="C2240"/>
      <c r="D2240"/>
      <c r="E2240"/>
      <c r="F2240"/>
      <c r="G2240"/>
      <c r="H2240"/>
      <c r="I2240"/>
      <c r="J2240" s="3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  <c r="X2240" s="2"/>
      <c r="Y2240" s="2"/>
      <c r="Z2240" s="2"/>
      <c r="AA2240" s="2"/>
    </row>
    <row r="2241" spans="1:27" s="1" customFormat="1">
      <c r="A2241"/>
      <c r="B2241"/>
      <c r="C2241"/>
      <c r="D2241"/>
      <c r="E2241"/>
      <c r="F2241"/>
      <c r="G2241"/>
      <c r="H2241"/>
      <c r="I2241"/>
      <c r="J2241" s="3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  <c r="X2241" s="2"/>
      <c r="Y2241" s="2"/>
      <c r="Z2241" s="2"/>
      <c r="AA2241" s="2"/>
    </row>
    <row r="2242" spans="1:27" s="1" customFormat="1">
      <c r="A2242"/>
      <c r="B2242"/>
      <c r="C2242"/>
      <c r="D2242"/>
      <c r="E2242"/>
      <c r="F2242"/>
      <c r="G2242"/>
      <c r="H2242"/>
      <c r="I2242"/>
      <c r="J2242" s="3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  <c r="X2242" s="2"/>
      <c r="Y2242" s="2"/>
      <c r="Z2242" s="2"/>
      <c r="AA2242" s="2"/>
    </row>
    <row r="2243" spans="1:27" s="1" customFormat="1">
      <c r="A2243"/>
      <c r="B2243"/>
      <c r="C2243"/>
      <c r="D2243"/>
      <c r="E2243"/>
      <c r="F2243"/>
      <c r="G2243"/>
      <c r="H2243"/>
      <c r="I2243"/>
      <c r="J2243" s="3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  <c r="X2243" s="2"/>
      <c r="Y2243" s="2"/>
      <c r="Z2243" s="2"/>
      <c r="AA2243" s="2"/>
    </row>
    <row r="2244" spans="1:27" s="1" customFormat="1">
      <c r="A2244"/>
      <c r="B2244"/>
      <c r="C2244"/>
      <c r="D2244"/>
      <c r="E2244"/>
      <c r="F2244"/>
      <c r="G2244"/>
      <c r="H2244"/>
      <c r="I2244"/>
      <c r="J2244" s="3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  <c r="X2244" s="2"/>
      <c r="Y2244" s="2"/>
      <c r="Z2244" s="2"/>
      <c r="AA2244" s="2"/>
    </row>
    <row r="2245" spans="1:27" s="1" customFormat="1">
      <c r="A2245"/>
      <c r="B2245"/>
      <c r="C2245"/>
      <c r="D2245"/>
      <c r="E2245"/>
      <c r="F2245"/>
      <c r="G2245"/>
      <c r="H2245"/>
      <c r="I2245"/>
      <c r="J2245" s="3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  <c r="X2245" s="2"/>
      <c r="Y2245" s="2"/>
      <c r="Z2245" s="2"/>
      <c r="AA2245" s="2"/>
    </row>
    <row r="2246" spans="1:27" s="1" customFormat="1">
      <c r="A2246"/>
      <c r="B2246"/>
      <c r="C2246"/>
      <c r="D2246"/>
      <c r="E2246"/>
      <c r="F2246"/>
      <c r="G2246"/>
      <c r="H2246"/>
      <c r="I2246"/>
      <c r="J2246" s="3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  <c r="X2246" s="2"/>
      <c r="Y2246" s="2"/>
      <c r="Z2246" s="2"/>
      <c r="AA2246" s="2"/>
    </row>
    <row r="2247" spans="1:27" s="1" customFormat="1">
      <c r="A2247"/>
      <c r="B2247"/>
      <c r="C2247"/>
      <c r="D2247"/>
      <c r="E2247"/>
      <c r="F2247"/>
      <c r="G2247"/>
      <c r="H2247"/>
      <c r="I2247"/>
      <c r="J2247" s="3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  <c r="X2247" s="2"/>
      <c r="Y2247" s="2"/>
      <c r="Z2247" s="2"/>
      <c r="AA2247" s="2"/>
    </row>
    <row r="2248" spans="1:27" s="1" customFormat="1">
      <c r="A2248"/>
      <c r="B2248"/>
      <c r="C2248"/>
      <c r="D2248"/>
      <c r="E2248"/>
      <c r="F2248"/>
      <c r="G2248"/>
      <c r="H2248"/>
      <c r="I2248"/>
      <c r="J2248" s="3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  <c r="X2248" s="2"/>
      <c r="Y2248" s="2"/>
      <c r="Z2248" s="2"/>
      <c r="AA2248" s="2"/>
    </row>
    <row r="2249" spans="1:27" s="1" customFormat="1">
      <c r="A2249"/>
      <c r="B2249"/>
      <c r="C2249"/>
      <c r="D2249"/>
      <c r="E2249"/>
      <c r="F2249"/>
      <c r="G2249"/>
      <c r="H2249"/>
      <c r="I2249"/>
      <c r="J2249" s="3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  <c r="X2249" s="2"/>
      <c r="Y2249" s="2"/>
      <c r="Z2249" s="2"/>
      <c r="AA2249" s="2"/>
    </row>
    <row r="2250" spans="1:27" s="1" customFormat="1">
      <c r="A2250"/>
      <c r="B2250"/>
      <c r="C2250"/>
      <c r="D2250"/>
      <c r="E2250"/>
      <c r="F2250"/>
      <c r="G2250"/>
      <c r="H2250"/>
      <c r="I2250"/>
      <c r="J2250" s="3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  <c r="X2250" s="2"/>
      <c r="Y2250" s="2"/>
      <c r="Z2250" s="2"/>
      <c r="AA2250" s="2"/>
    </row>
    <row r="2251" spans="1:27" s="1" customFormat="1">
      <c r="A2251"/>
      <c r="B2251"/>
      <c r="C2251"/>
      <c r="D2251"/>
      <c r="E2251"/>
      <c r="F2251"/>
      <c r="G2251"/>
      <c r="H2251"/>
      <c r="I2251"/>
      <c r="J2251" s="3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  <c r="X2251" s="2"/>
      <c r="Y2251" s="2"/>
      <c r="Z2251" s="2"/>
      <c r="AA2251" s="2"/>
    </row>
    <row r="2252" spans="1:27" s="1" customFormat="1">
      <c r="A2252"/>
      <c r="B2252"/>
      <c r="C2252"/>
      <c r="D2252"/>
      <c r="E2252"/>
      <c r="F2252"/>
      <c r="G2252"/>
      <c r="H2252"/>
      <c r="I2252"/>
      <c r="J2252" s="3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  <c r="X2252" s="2"/>
      <c r="Y2252" s="2"/>
      <c r="Z2252" s="2"/>
      <c r="AA2252" s="2"/>
    </row>
    <row r="2253" spans="1:27" s="1" customFormat="1">
      <c r="A2253"/>
      <c r="B2253"/>
      <c r="C2253"/>
      <c r="D2253"/>
      <c r="E2253"/>
      <c r="F2253"/>
      <c r="G2253"/>
      <c r="H2253"/>
      <c r="I2253"/>
      <c r="J2253" s="3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  <c r="X2253" s="2"/>
      <c r="Y2253" s="2"/>
      <c r="Z2253" s="2"/>
      <c r="AA2253" s="2"/>
    </row>
    <row r="2254" spans="1:27" s="1" customFormat="1">
      <c r="A2254"/>
      <c r="B2254"/>
      <c r="C2254"/>
      <c r="D2254"/>
      <c r="E2254"/>
      <c r="F2254"/>
      <c r="G2254"/>
      <c r="H2254"/>
      <c r="I2254"/>
      <c r="J2254" s="3"/>
      <c r="K2254" s="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2"/>
      <c r="W2254" s="12"/>
      <c r="X2254" s="2"/>
      <c r="Y2254" s="2"/>
      <c r="Z2254" s="2"/>
      <c r="AA2254" s="2"/>
    </row>
    <row r="2255" spans="1:27" s="1" customFormat="1">
      <c r="A2255"/>
      <c r="B2255"/>
      <c r="C2255"/>
      <c r="D2255"/>
      <c r="E2255"/>
      <c r="F2255"/>
      <c r="G2255"/>
      <c r="H2255"/>
      <c r="I2255"/>
      <c r="J2255" s="3"/>
      <c r="K2255" s="2"/>
      <c r="L2255" s="14"/>
      <c r="M2255" s="14"/>
      <c r="N2255" s="14"/>
      <c r="O2255" s="12"/>
      <c r="P2255" s="12"/>
      <c r="Q2255" s="12"/>
      <c r="R2255" s="14"/>
      <c r="S2255" s="14"/>
      <c r="T2255" s="12"/>
      <c r="U2255" s="2"/>
      <c r="V2255" s="12"/>
      <c r="W2255" s="2"/>
      <c r="X2255" s="2"/>
      <c r="Y2255" s="2"/>
      <c r="Z2255" s="2"/>
      <c r="AA2255" s="2"/>
    </row>
    <row r="2256" spans="1:27" s="1" customFormat="1">
      <c r="A2256"/>
      <c r="B2256"/>
      <c r="C2256"/>
      <c r="D2256"/>
      <c r="E2256"/>
      <c r="F2256"/>
      <c r="G2256"/>
      <c r="H2256"/>
      <c r="I2256"/>
      <c r="J2256" s="3"/>
      <c r="K2256" s="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3"/>
      <c r="V2256" s="13"/>
      <c r="W2256" s="12"/>
      <c r="X2256" s="2"/>
      <c r="Y2256" s="2"/>
      <c r="Z2256" s="2"/>
      <c r="AA2256" s="2"/>
    </row>
    <row r="2257" spans="1:27" s="1" customFormat="1">
      <c r="A2257"/>
      <c r="B2257"/>
      <c r="C2257"/>
      <c r="D2257"/>
      <c r="E2257"/>
      <c r="F2257"/>
      <c r="G2257"/>
      <c r="H2257"/>
      <c r="I2257"/>
      <c r="J2257" s="3"/>
      <c r="K2257" s="2"/>
      <c r="L2257" s="10"/>
      <c r="M2257" s="10"/>
      <c r="N2257" s="9"/>
      <c r="O2257" s="6"/>
      <c r="P2257" s="8"/>
      <c r="Q2257" s="6"/>
      <c r="R2257" s="8"/>
      <c r="S2257" s="6"/>
      <c r="T2257" s="8"/>
      <c r="U2257" s="7"/>
      <c r="V2257" s="7"/>
      <c r="W2257" s="6"/>
      <c r="X2257" s="2"/>
      <c r="Y2257" s="2"/>
      <c r="Z2257" s="2"/>
      <c r="AA2257" s="2"/>
    </row>
    <row r="2258" spans="1:27" s="1" customFormat="1">
      <c r="A2258"/>
      <c r="B2258"/>
      <c r="C2258"/>
      <c r="D2258"/>
      <c r="E2258"/>
      <c r="F2258"/>
      <c r="G2258"/>
      <c r="H2258"/>
      <c r="I2258"/>
      <c r="J2258" s="3"/>
      <c r="K2258" s="11"/>
      <c r="L2258" s="10"/>
      <c r="M2258" s="10"/>
      <c r="N2258" s="9"/>
      <c r="O2258" s="6"/>
      <c r="P2258" s="8"/>
      <c r="Q2258" s="6"/>
      <c r="R2258" s="8"/>
      <c r="S2258" s="6"/>
      <c r="T2258" s="8"/>
      <c r="U2258" s="7"/>
      <c r="V2258" s="7"/>
      <c r="W2258" s="6"/>
      <c r="X2258" s="2"/>
      <c r="Y2258" s="2"/>
      <c r="Z2258" s="2"/>
      <c r="AA2258" s="2"/>
    </row>
    <row r="2259" spans="1:27" s="1" customFormat="1">
      <c r="A2259"/>
      <c r="B2259"/>
      <c r="C2259"/>
      <c r="D2259"/>
      <c r="E2259"/>
      <c r="F2259"/>
      <c r="G2259"/>
      <c r="H2259"/>
      <c r="I2259"/>
      <c r="J2259" s="3"/>
      <c r="K2259" s="2"/>
      <c r="L2259" s="10"/>
      <c r="M2259" s="10"/>
      <c r="N2259" s="9"/>
      <c r="O2259" s="6"/>
      <c r="P2259" s="8"/>
      <c r="Q2259" s="6"/>
      <c r="R2259" s="8"/>
      <c r="S2259" s="6"/>
      <c r="T2259" s="8"/>
      <c r="U2259" s="7"/>
      <c r="V2259" s="7"/>
      <c r="W2259" s="6"/>
      <c r="X2259" s="2"/>
      <c r="Y2259" s="2"/>
      <c r="Z2259" s="2"/>
      <c r="AA2259" s="2"/>
    </row>
    <row r="2260" spans="1:27" s="1" customFormat="1">
      <c r="A2260"/>
      <c r="B2260"/>
      <c r="C2260"/>
      <c r="D2260"/>
      <c r="E2260"/>
      <c r="F2260"/>
      <c r="G2260"/>
      <c r="H2260"/>
      <c r="I2260"/>
      <c r="J2260" s="3"/>
      <c r="K2260" s="2"/>
      <c r="L2260" s="10"/>
      <c r="M2260" s="10"/>
      <c r="N2260" s="9"/>
      <c r="O2260" s="6"/>
      <c r="P2260" s="8"/>
      <c r="Q2260" s="6"/>
      <c r="R2260" s="8"/>
      <c r="S2260" s="6"/>
      <c r="T2260" s="8"/>
      <c r="U2260" s="7"/>
      <c r="V2260" s="7"/>
      <c r="W2260" s="6"/>
      <c r="X2260" s="2"/>
      <c r="Y2260" s="2"/>
      <c r="Z2260" s="2"/>
      <c r="AA2260" s="2"/>
    </row>
    <row r="2261" spans="1:27" s="1" customFormat="1">
      <c r="A2261"/>
      <c r="B2261"/>
      <c r="C2261"/>
      <c r="D2261"/>
      <c r="E2261"/>
      <c r="F2261"/>
      <c r="G2261"/>
      <c r="H2261"/>
      <c r="I2261"/>
      <c r="J2261" s="3"/>
      <c r="K2261" s="2"/>
      <c r="L2261" s="2"/>
      <c r="M2261" s="2"/>
      <c r="N2261" s="2"/>
      <c r="O2261" s="6"/>
      <c r="P2261" s="8"/>
      <c r="Q2261" s="6"/>
      <c r="R2261" s="8"/>
      <c r="S2261" s="6"/>
      <c r="T2261" s="8"/>
      <c r="U2261" s="7"/>
      <c r="V2261" s="7"/>
      <c r="W2261" s="6"/>
      <c r="X2261" s="2"/>
      <c r="Y2261" s="2"/>
      <c r="Z2261" s="2"/>
      <c r="AA2261" s="2"/>
    </row>
    <row r="2262" spans="1:27" s="1" customFormat="1">
      <c r="A2262"/>
      <c r="B2262"/>
      <c r="C2262"/>
      <c r="D2262"/>
      <c r="E2262"/>
      <c r="F2262"/>
      <c r="G2262"/>
      <c r="H2262"/>
      <c r="I2262"/>
      <c r="J2262" s="3"/>
      <c r="K2262" s="2"/>
      <c r="L2262" s="2"/>
      <c r="M2262" s="2"/>
      <c r="N2262" s="2"/>
      <c r="O2262" s="5"/>
      <c r="P2262" s="4"/>
      <c r="Q2262" s="2"/>
      <c r="R2262" s="2"/>
      <c r="S2262" s="2"/>
      <c r="T2262" s="2"/>
      <c r="U2262" s="2"/>
      <c r="V2262" s="2"/>
      <c r="W2262" s="2"/>
      <c r="X2262" s="2"/>
      <c r="Y2262" s="2"/>
      <c r="Z2262" s="2"/>
      <c r="AA2262" s="2"/>
    </row>
    <row r="2263" spans="1:27" s="1" customFormat="1">
      <c r="A2263"/>
      <c r="B2263"/>
      <c r="C2263"/>
      <c r="D2263"/>
      <c r="E2263"/>
      <c r="F2263"/>
      <c r="G2263"/>
      <c r="H2263"/>
      <c r="I2263"/>
      <c r="J2263" s="3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  <c r="X2263" s="2"/>
      <c r="Y2263" s="2"/>
      <c r="Z2263" s="2"/>
      <c r="AA2263" s="2"/>
    </row>
    <row r="2264" spans="1:27" s="1" customFormat="1">
      <c r="A2264"/>
      <c r="B2264"/>
      <c r="C2264"/>
      <c r="D2264"/>
      <c r="E2264"/>
      <c r="F2264"/>
      <c r="G2264"/>
      <c r="H2264"/>
      <c r="I2264"/>
      <c r="J2264" s="3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  <c r="X2264" s="2"/>
      <c r="Y2264" s="2"/>
      <c r="Z2264" s="2"/>
      <c r="AA2264" s="2"/>
    </row>
    <row r="2265" spans="1:27" s="1" customFormat="1">
      <c r="A2265"/>
      <c r="B2265"/>
      <c r="C2265"/>
      <c r="D2265"/>
      <c r="E2265"/>
      <c r="F2265"/>
      <c r="G2265"/>
      <c r="H2265"/>
      <c r="I2265"/>
      <c r="J2265" s="3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  <c r="X2265" s="2"/>
      <c r="Y2265" s="2"/>
      <c r="Z2265" s="2"/>
      <c r="AA2265" s="2"/>
    </row>
    <row r="2266" spans="1:27" s="1" customFormat="1">
      <c r="A2266"/>
      <c r="B2266"/>
      <c r="C2266"/>
      <c r="D2266"/>
      <c r="E2266"/>
      <c r="F2266"/>
      <c r="G2266"/>
      <c r="H2266"/>
      <c r="I2266"/>
      <c r="J2266" s="3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  <c r="X2266" s="2"/>
      <c r="Y2266" s="2"/>
      <c r="Z2266" s="2"/>
      <c r="AA2266" s="2"/>
    </row>
    <row r="2267" spans="1:27" s="1" customFormat="1">
      <c r="A2267"/>
      <c r="B2267"/>
      <c r="C2267"/>
      <c r="D2267"/>
      <c r="E2267"/>
      <c r="F2267"/>
      <c r="G2267"/>
      <c r="H2267"/>
      <c r="I2267"/>
      <c r="J2267" s="3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  <c r="X2267" s="2"/>
      <c r="Y2267" s="2"/>
      <c r="Z2267" s="2"/>
      <c r="AA2267" s="2"/>
    </row>
    <row r="2268" spans="1:27" s="1" customFormat="1">
      <c r="A2268"/>
      <c r="B2268"/>
      <c r="C2268"/>
      <c r="D2268"/>
      <c r="E2268"/>
      <c r="F2268"/>
      <c r="G2268"/>
      <c r="H2268"/>
      <c r="I2268"/>
      <c r="J2268" s="3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  <c r="X2268" s="2"/>
      <c r="Y2268" s="2"/>
      <c r="Z2268" s="2"/>
      <c r="AA2268" s="2"/>
    </row>
    <row r="2269" spans="1:27" s="1" customFormat="1">
      <c r="A2269"/>
      <c r="B2269"/>
      <c r="C2269"/>
      <c r="D2269"/>
      <c r="E2269"/>
      <c r="F2269"/>
      <c r="G2269"/>
      <c r="H2269"/>
      <c r="I2269"/>
      <c r="J2269" s="3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  <c r="X2269" s="2"/>
      <c r="Y2269" s="2"/>
      <c r="Z2269" s="2"/>
      <c r="AA2269" s="2"/>
    </row>
    <row r="2270" spans="1:27" s="1" customFormat="1">
      <c r="A2270"/>
      <c r="B2270"/>
      <c r="C2270"/>
      <c r="D2270"/>
      <c r="E2270"/>
      <c r="F2270"/>
      <c r="G2270"/>
      <c r="H2270"/>
      <c r="I2270"/>
      <c r="J2270" s="3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  <c r="X2270" s="2"/>
      <c r="Y2270" s="2"/>
      <c r="Z2270" s="2"/>
      <c r="AA2270" s="2"/>
    </row>
    <row r="2271" spans="1:27" s="1" customFormat="1">
      <c r="A2271"/>
      <c r="B2271"/>
      <c r="C2271"/>
      <c r="D2271"/>
      <c r="E2271"/>
      <c r="F2271"/>
      <c r="G2271"/>
      <c r="H2271"/>
      <c r="I2271"/>
      <c r="J2271" s="3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  <c r="X2271" s="2"/>
      <c r="Y2271" s="2"/>
      <c r="Z2271" s="2"/>
      <c r="AA2271" s="2"/>
    </row>
    <row r="2272" spans="1:27" s="1" customFormat="1">
      <c r="A2272"/>
      <c r="B2272"/>
      <c r="C2272"/>
      <c r="D2272"/>
      <c r="E2272"/>
      <c r="F2272"/>
      <c r="G2272"/>
      <c r="H2272"/>
      <c r="I2272"/>
      <c r="J2272" s="3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  <c r="X2272" s="2"/>
      <c r="Y2272" s="2"/>
      <c r="Z2272" s="2"/>
      <c r="AA2272" s="2"/>
    </row>
    <row r="2273" spans="1:27" s="1" customFormat="1">
      <c r="A2273"/>
      <c r="B2273"/>
      <c r="C2273"/>
      <c r="D2273"/>
      <c r="E2273"/>
      <c r="F2273"/>
      <c r="G2273"/>
      <c r="H2273"/>
      <c r="I2273"/>
      <c r="J2273" s="3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  <c r="X2273" s="2"/>
      <c r="Y2273" s="2"/>
      <c r="Z2273" s="2"/>
      <c r="AA2273" s="2"/>
    </row>
    <row r="2274" spans="1:27" s="1" customFormat="1">
      <c r="A2274"/>
      <c r="B2274"/>
      <c r="C2274"/>
      <c r="D2274"/>
      <c r="E2274"/>
      <c r="F2274"/>
      <c r="G2274"/>
      <c r="H2274"/>
      <c r="I2274"/>
      <c r="J2274" s="3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  <c r="X2274" s="2"/>
      <c r="Y2274" s="2"/>
      <c r="Z2274" s="2"/>
      <c r="AA2274" s="2"/>
    </row>
    <row r="2275" spans="1:27" s="1" customFormat="1">
      <c r="A2275"/>
      <c r="B2275"/>
      <c r="C2275"/>
      <c r="D2275"/>
      <c r="E2275"/>
      <c r="F2275"/>
      <c r="G2275"/>
      <c r="H2275"/>
      <c r="I2275"/>
      <c r="J2275" s="3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  <c r="X2275" s="2"/>
      <c r="Y2275" s="2"/>
      <c r="Z2275" s="2"/>
      <c r="AA2275" s="2"/>
    </row>
    <row r="2276" spans="1:27" s="1" customFormat="1">
      <c r="A2276"/>
      <c r="B2276"/>
      <c r="C2276"/>
      <c r="D2276"/>
      <c r="E2276"/>
      <c r="F2276"/>
      <c r="G2276"/>
      <c r="H2276"/>
      <c r="I2276"/>
      <c r="J2276" s="3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  <c r="X2276" s="2"/>
      <c r="Y2276" s="2"/>
      <c r="Z2276" s="2"/>
      <c r="AA2276" s="2"/>
    </row>
    <row r="2277" spans="1:27" s="1" customFormat="1">
      <c r="A2277"/>
      <c r="B2277"/>
      <c r="C2277"/>
      <c r="D2277"/>
      <c r="E2277"/>
      <c r="F2277"/>
      <c r="G2277"/>
      <c r="H2277"/>
      <c r="I2277"/>
      <c r="J2277" s="3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  <c r="X2277" s="2"/>
      <c r="Y2277" s="2"/>
      <c r="Z2277" s="2"/>
      <c r="AA2277" s="2"/>
    </row>
    <row r="2278" spans="1:27" s="1" customFormat="1">
      <c r="A2278"/>
      <c r="B2278"/>
      <c r="C2278"/>
      <c r="D2278"/>
      <c r="E2278"/>
      <c r="F2278"/>
      <c r="G2278"/>
      <c r="H2278"/>
      <c r="I2278"/>
      <c r="J2278" s="3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  <c r="X2278" s="2"/>
      <c r="Y2278" s="2"/>
      <c r="Z2278" s="2"/>
      <c r="AA2278" s="2"/>
    </row>
    <row r="2279" spans="1:27" s="1" customFormat="1">
      <c r="A2279"/>
      <c r="B2279"/>
      <c r="C2279"/>
      <c r="D2279"/>
      <c r="E2279"/>
      <c r="F2279"/>
      <c r="G2279"/>
      <c r="H2279"/>
      <c r="I2279"/>
      <c r="J2279" s="3"/>
      <c r="K2279" s="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2"/>
      <c r="W2279" s="12"/>
      <c r="X2279" s="2"/>
      <c r="Y2279" s="2"/>
      <c r="Z2279" s="2"/>
      <c r="AA2279" s="2"/>
    </row>
    <row r="2280" spans="1:27" s="1" customFormat="1">
      <c r="A2280"/>
      <c r="B2280"/>
      <c r="C2280"/>
      <c r="D2280"/>
      <c r="E2280"/>
      <c r="F2280"/>
      <c r="G2280"/>
      <c r="H2280"/>
      <c r="I2280"/>
      <c r="J2280" s="3"/>
      <c r="K2280" s="2"/>
      <c r="L2280" s="14"/>
      <c r="M2280" s="14"/>
      <c r="N2280" s="14"/>
      <c r="O2280" s="12"/>
      <c r="P2280" s="12"/>
      <c r="Q2280" s="12"/>
      <c r="R2280" s="14"/>
      <c r="S2280" s="14"/>
      <c r="T2280" s="12"/>
      <c r="U2280" s="2"/>
      <c r="V2280" s="12"/>
      <c r="W2280" s="2"/>
      <c r="X2280" s="2"/>
      <c r="Y2280" s="2"/>
      <c r="Z2280" s="2"/>
      <c r="AA2280" s="2"/>
    </row>
    <row r="2281" spans="1:27" s="1" customFormat="1">
      <c r="A2281"/>
      <c r="B2281"/>
      <c r="C2281"/>
      <c r="D2281"/>
      <c r="E2281"/>
      <c r="F2281"/>
      <c r="G2281"/>
      <c r="H2281"/>
      <c r="I2281"/>
      <c r="J2281" s="3"/>
      <c r="K2281" s="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3"/>
      <c r="V2281" s="13"/>
      <c r="W2281" s="12"/>
      <c r="X2281" s="2"/>
      <c r="Y2281" s="2"/>
      <c r="Z2281" s="2"/>
      <c r="AA2281" s="2"/>
    </row>
    <row r="2282" spans="1:27" s="1" customFormat="1">
      <c r="A2282"/>
      <c r="B2282"/>
      <c r="C2282"/>
      <c r="D2282"/>
      <c r="E2282"/>
      <c r="F2282"/>
      <c r="G2282"/>
      <c r="H2282"/>
      <c r="I2282"/>
      <c r="J2282" s="3"/>
      <c r="K2282" s="2"/>
      <c r="L2282" s="10"/>
      <c r="M2282" s="10"/>
      <c r="N2282" s="9"/>
      <c r="O2282" s="6"/>
      <c r="P2282" s="8"/>
      <c r="Q2282" s="6"/>
      <c r="R2282" s="8"/>
      <c r="S2282" s="6"/>
      <c r="T2282" s="8"/>
      <c r="U2282" s="7"/>
      <c r="V2282" s="7"/>
      <c r="W2282" s="6"/>
      <c r="X2282" s="2"/>
      <c r="Y2282" s="2"/>
      <c r="Z2282" s="2"/>
      <c r="AA2282" s="2"/>
    </row>
    <row r="2283" spans="1:27" s="1" customFormat="1">
      <c r="A2283"/>
      <c r="B2283"/>
      <c r="C2283"/>
      <c r="D2283"/>
      <c r="E2283"/>
      <c r="F2283"/>
      <c r="G2283"/>
      <c r="H2283"/>
      <c r="I2283"/>
      <c r="J2283" s="3"/>
      <c r="K2283" s="11"/>
      <c r="L2283" s="10"/>
      <c r="M2283" s="10"/>
      <c r="N2283" s="9"/>
      <c r="O2283" s="6"/>
      <c r="P2283" s="8"/>
      <c r="Q2283" s="6"/>
      <c r="R2283" s="8"/>
      <c r="S2283" s="6"/>
      <c r="T2283" s="8"/>
      <c r="U2283" s="7"/>
      <c r="V2283" s="7"/>
      <c r="W2283" s="6"/>
      <c r="X2283" s="2"/>
      <c r="Y2283" s="2"/>
      <c r="Z2283" s="2"/>
      <c r="AA2283" s="2"/>
    </row>
    <row r="2284" spans="1:27" s="1" customFormat="1">
      <c r="A2284"/>
      <c r="B2284"/>
      <c r="C2284"/>
      <c r="D2284"/>
      <c r="E2284"/>
      <c r="F2284"/>
      <c r="G2284"/>
      <c r="H2284"/>
      <c r="I2284"/>
      <c r="J2284" s="3"/>
      <c r="K2284" s="2"/>
      <c r="L2284" s="10"/>
      <c r="M2284" s="10"/>
      <c r="N2284" s="9"/>
      <c r="O2284" s="6"/>
      <c r="P2284" s="8"/>
      <c r="Q2284" s="6"/>
      <c r="R2284" s="8"/>
      <c r="S2284" s="6"/>
      <c r="T2284" s="8"/>
      <c r="U2284" s="7"/>
      <c r="V2284" s="7"/>
      <c r="W2284" s="6"/>
      <c r="X2284" s="2"/>
      <c r="Y2284" s="2"/>
      <c r="Z2284" s="2"/>
      <c r="AA2284" s="2"/>
    </row>
    <row r="2285" spans="1:27" s="1" customFormat="1">
      <c r="A2285"/>
      <c r="B2285"/>
      <c r="C2285"/>
      <c r="D2285"/>
      <c r="E2285"/>
      <c r="F2285"/>
      <c r="G2285"/>
      <c r="H2285"/>
      <c r="I2285"/>
      <c r="J2285" s="3"/>
      <c r="K2285" s="2"/>
      <c r="L2285" s="10"/>
      <c r="M2285" s="10"/>
      <c r="N2285" s="9"/>
      <c r="O2285" s="6"/>
      <c r="P2285" s="8"/>
      <c r="Q2285" s="6"/>
      <c r="R2285" s="8"/>
      <c r="S2285" s="6"/>
      <c r="T2285" s="8"/>
      <c r="U2285" s="7"/>
      <c r="V2285" s="7"/>
      <c r="W2285" s="6"/>
      <c r="X2285" s="2"/>
      <c r="Y2285" s="2"/>
      <c r="Z2285" s="2"/>
      <c r="AA2285" s="2"/>
    </row>
    <row r="2286" spans="1:27" s="1" customFormat="1">
      <c r="A2286"/>
      <c r="B2286"/>
      <c r="C2286"/>
      <c r="D2286"/>
      <c r="E2286"/>
      <c r="F2286"/>
      <c r="G2286"/>
      <c r="H2286"/>
      <c r="I2286"/>
      <c r="J2286" s="3"/>
      <c r="K2286" s="2"/>
      <c r="L2286" s="2"/>
      <c r="M2286" s="2"/>
      <c r="N2286" s="2"/>
      <c r="O2286" s="6"/>
      <c r="P2286" s="8"/>
      <c r="Q2286" s="6"/>
      <c r="R2286" s="8"/>
      <c r="S2286" s="6"/>
      <c r="T2286" s="8"/>
      <c r="U2286" s="7"/>
      <c r="V2286" s="7"/>
      <c r="W2286" s="6"/>
      <c r="X2286" s="2"/>
      <c r="Y2286" s="2"/>
      <c r="Z2286" s="2"/>
      <c r="AA2286" s="2"/>
    </row>
    <row r="2287" spans="1:27" s="1" customFormat="1">
      <c r="A2287"/>
      <c r="B2287"/>
      <c r="C2287"/>
      <c r="D2287"/>
      <c r="E2287"/>
      <c r="F2287"/>
      <c r="G2287"/>
      <c r="H2287"/>
      <c r="I2287"/>
      <c r="J2287" s="3"/>
      <c r="K2287" s="2"/>
      <c r="L2287" s="2"/>
      <c r="M2287" s="2"/>
      <c r="N2287" s="2"/>
      <c r="O2287" s="5"/>
      <c r="P2287" s="4"/>
      <c r="Q2287" s="2"/>
      <c r="R2287" s="2"/>
      <c r="S2287" s="2"/>
      <c r="T2287" s="2"/>
      <c r="U2287" s="2"/>
      <c r="V2287" s="2"/>
      <c r="W2287" s="2"/>
      <c r="X2287" s="2"/>
      <c r="Y2287" s="2"/>
      <c r="Z2287" s="2"/>
      <c r="AA2287" s="2"/>
    </row>
    <row r="2288" spans="1:27" s="1" customFormat="1">
      <c r="A2288"/>
      <c r="B2288"/>
      <c r="C2288"/>
      <c r="D2288"/>
      <c r="E2288"/>
      <c r="F2288"/>
      <c r="G2288"/>
      <c r="H2288"/>
      <c r="I2288"/>
      <c r="J2288" s="3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  <c r="X2288" s="2"/>
      <c r="Y2288" s="2"/>
      <c r="Z2288" s="2"/>
      <c r="AA2288" s="2"/>
    </row>
    <row r="2289" spans="1:27" s="1" customFormat="1">
      <c r="A2289"/>
      <c r="B2289"/>
      <c r="C2289"/>
      <c r="D2289"/>
      <c r="E2289"/>
      <c r="F2289"/>
      <c r="G2289"/>
      <c r="H2289"/>
      <c r="I2289"/>
      <c r="J2289" s="3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  <c r="X2289" s="2"/>
      <c r="Y2289" s="2"/>
      <c r="Z2289" s="2"/>
      <c r="AA2289" s="2"/>
    </row>
    <row r="2290" spans="1:27" s="1" customFormat="1">
      <c r="A2290"/>
      <c r="B2290"/>
      <c r="C2290"/>
      <c r="D2290"/>
      <c r="E2290"/>
      <c r="F2290"/>
      <c r="G2290"/>
      <c r="H2290"/>
      <c r="I2290"/>
      <c r="J2290" s="3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  <c r="X2290" s="2"/>
      <c r="Y2290" s="2"/>
      <c r="Z2290" s="2"/>
      <c r="AA2290" s="2"/>
    </row>
    <row r="2291" spans="1:27" s="1" customFormat="1">
      <c r="A2291"/>
      <c r="B2291"/>
      <c r="C2291"/>
      <c r="D2291"/>
      <c r="E2291"/>
      <c r="F2291"/>
      <c r="G2291"/>
      <c r="H2291"/>
      <c r="I2291"/>
      <c r="J2291" s="3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  <c r="X2291" s="2"/>
      <c r="Y2291" s="2"/>
      <c r="Z2291" s="2"/>
      <c r="AA2291" s="2"/>
    </row>
    <row r="2292" spans="1:27" s="1" customFormat="1">
      <c r="A2292"/>
      <c r="B2292"/>
      <c r="C2292"/>
      <c r="D2292"/>
      <c r="E2292"/>
      <c r="F2292"/>
      <c r="G2292"/>
      <c r="H2292"/>
      <c r="I2292"/>
      <c r="J2292" s="3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  <c r="X2292" s="2"/>
      <c r="Y2292" s="2"/>
      <c r="Z2292" s="2"/>
      <c r="AA2292" s="2"/>
    </row>
    <row r="2293" spans="1:27" s="1" customFormat="1">
      <c r="A2293"/>
      <c r="B2293"/>
      <c r="C2293"/>
      <c r="D2293"/>
      <c r="E2293"/>
      <c r="F2293"/>
      <c r="G2293"/>
      <c r="H2293"/>
      <c r="I2293"/>
      <c r="J2293" s="3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  <c r="X2293" s="2"/>
      <c r="Y2293" s="2"/>
      <c r="Z2293" s="2"/>
      <c r="AA2293" s="2"/>
    </row>
    <row r="2294" spans="1:27" s="1" customFormat="1">
      <c r="A2294"/>
      <c r="B2294"/>
      <c r="C2294"/>
      <c r="D2294"/>
      <c r="E2294"/>
      <c r="F2294"/>
      <c r="G2294"/>
      <c r="H2294"/>
      <c r="I2294"/>
      <c r="J2294" s="3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  <c r="X2294" s="2"/>
      <c r="Y2294" s="2"/>
      <c r="Z2294" s="2"/>
      <c r="AA2294" s="2"/>
    </row>
    <row r="2295" spans="1:27" s="1" customFormat="1">
      <c r="A2295"/>
      <c r="B2295"/>
      <c r="C2295"/>
      <c r="D2295"/>
      <c r="E2295"/>
      <c r="F2295"/>
      <c r="G2295"/>
      <c r="H2295"/>
      <c r="I2295"/>
      <c r="J2295" s="3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  <c r="X2295" s="2"/>
      <c r="Y2295" s="2"/>
      <c r="Z2295" s="2"/>
      <c r="AA2295" s="2"/>
    </row>
    <row r="2296" spans="1:27" s="1" customFormat="1">
      <c r="A2296"/>
      <c r="B2296"/>
      <c r="C2296"/>
      <c r="D2296"/>
      <c r="E2296"/>
      <c r="F2296"/>
      <c r="G2296"/>
      <c r="H2296"/>
      <c r="I2296"/>
      <c r="J2296" s="3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  <c r="X2296" s="2"/>
      <c r="Y2296" s="2"/>
      <c r="Z2296" s="2"/>
      <c r="AA2296" s="2"/>
    </row>
    <row r="2297" spans="1:27" s="1" customFormat="1">
      <c r="A2297"/>
      <c r="B2297"/>
      <c r="C2297"/>
      <c r="D2297"/>
      <c r="E2297"/>
      <c r="F2297"/>
      <c r="G2297"/>
      <c r="H2297"/>
      <c r="I2297"/>
      <c r="J2297" s="3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  <c r="X2297" s="2"/>
      <c r="Y2297" s="2"/>
      <c r="Z2297" s="2"/>
      <c r="AA2297" s="2"/>
    </row>
    <row r="2298" spans="1:27" s="1" customFormat="1">
      <c r="A2298"/>
      <c r="B2298"/>
      <c r="C2298"/>
      <c r="D2298"/>
      <c r="E2298"/>
      <c r="F2298"/>
      <c r="G2298"/>
      <c r="H2298"/>
      <c r="I2298"/>
      <c r="J2298" s="3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  <c r="X2298" s="2"/>
      <c r="Y2298" s="2"/>
      <c r="Z2298" s="2"/>
      <c r="AA2298" s="2"/>
    </row>
    <row r="2299" spans="1:27" s="1" customFormat="1">
      <c r="A2299"/>
      <c r="B2299"/>
      <c r="C2299"/>
      <c r="D2299"/>
      <c r="E2299"/>
      <c r="F2299"/>
      <c r="G2299"/>
      <c r="H2299"/>
      <c r="I2299"/>
      <c r="J2299" s="3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  <c r="X2299" s="2"/>
      <c r="Y2299" s="2"/>
      <c r="Z2299" s="2"/>
      <c r="AA2299" s="2"/>
    </row>
    <row r="2300" spans="1:27" s="1" customFormat="1">
      <c r="A2300"/>
      <c r="B2300"/>
      <c r="C2300"/>
      <c r="D2300"/>
      <c r="E2300"/>
      <c r="F2300"/>
      <c r="G2300"/>
      <c r="H2300"/>
      <c r="I2300"/>
      <c r="J2300" s="3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  <c r="X2300" s="2"/>
      <c r="Y2300" s="2"/>
      <c r="Z2300" s="2"/>
      <c r="AA2300" s="2"/>
    </row>
    <row r="2301" spans="1:27" s="1" customFormat="1">
      <c r="A2301"/>
      <c r="B2301"/>
      <c r="C2301"/>
      <c r="D2301"/>
      <c r="E2301"/>
      <c r="F2301"/>
      <c r="G2301"/>
      <c r="H2301"/>
      <c r="I2301"/>
      <c r="J2301" s="3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  <c r="X2301" s="2"/>
      <c r="Y2301" s="2"/>
      <c r="Z2301" s="2"/>
      <c r="AA2301" s="2"/>
    </row>
    <row r="2302" spans="1:27" s="1" customFormat="1">
      <c r="A2302"/>
      <c r="B2302"/>
      <c r="C2302"/>
      <c r="D2302"/>
      <c r="E2302"/>
      <c r="F2302"/>
      <c r="G2302"/>
      <c r="H2302"/>
      <c r="I2302"/>
      <c r="J2302" s="3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  <c r="X2302" s="2"/>
      <c r="Y2302" s="2"/>
      <c r="Z2302" s="2"/>
      <c r="AA2302" s="2"/>
    </row>
    <row r="2303" spans="1:27" s="1" customFormat="1">
      <c r="A2303"/>
      <c r="B2303"/>
      <c r="C2303"/>
      <c r="D2303"/>
      <c r="E2303"/>
      <c r="F2303"/>
      <c r="G2303"/>
      <c r="H2303"/>
      <c r="I2303"/>
      <c r="J2303" s="3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  <c r="X2303" s="2"/>
      <c r="Y2303" s="2"/>
      <c r="Z2303" s="2"/>
      <c r="AA2303" s="2"/>
    </row>
    <row r="2304" spans="1:27" s="1" customFormat="1">
      <c r="A2304"/>
      <c r="B2304"/>
      <c r="C2304"/>
      <c r="D2304"/>
      <c r="E2304"/>
      <c r="F2304"/>
      <c r="G2304"/>
      <c r="H2304"/>
      <c r="I2304"/>
      <c r="J2304" s="3"/>
      <c r="K2304" s="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2"/>
      <c r="W2304" s="12"/>
      <c r="X2304" s="2"/>
      <c r="Y2304" s="2"/>
      <c r="Z2304" s="2"/>
      <c r="AA2304" s="2"/>
    </row>
    <row r="2305" spans="1:27" s="1" customFormat="1">
      <c r="A2305"/>
      <c r="B2305"/>
      <c r="C2305"/>
      <c r="D2305"/>
      <c r="E2305"/>
      <c r="F2305"/>
      <c r="G2305"/>
      <c r="H2305"/>
      <c r="I2305"/>
      <c r="J2305" s="3"/>
      <c r="K2305" s="2"/>
      <c r="L2305" s="14"/>
      <c r="M2305" s="14"/>
      <c r="N2305" s="14"/>
      <c r="O2305" s="12"/>
      <c r="P2305" s="12"/>
      <c r="Q2305" s="12"/>
      <c r="R2305" s="14"/>
      <c r="S2305" s="14"/>
      <c r="T2305" s="12"/>
      <c r="U2305" s="2"/>
      <c r="V2305" s="12"/>
      <c r="W2305" s="2"/>
      <c r="X2305" s="2"/>
      <c r="Y2305" s="2"/>
      <c r="Z2305" s="2"/>
      <c r="AA2305" s="2"/>
    </row>
    <row r="2306" spans="1:27" s="1" customFormat="1">
      <c r="A2306"/>
      <c r="B2306"/>
      <c r="C2306"/>
      <c r="D2306"/>
      <c r="E2306"/>
      <c r="F2306"/>
      <c r="G2306"/>
      <c r="H2306"/>
      <c r="I2306"/>
      <c r="J2306" s="3"/>
      <c r="K2306" s="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3"/>
      <c r="V2306" s="13"/>
      <c r="W2306" s="12"/>
      <c r="X2306" s="2"/>
      <c r="Y2306" s="2"/>
      <c r="Z2306" s="2"/>
      <c r="AA2306" s="2"/>
    </row>
    <row r="2307" spans="1:27" s="1" customFormat="1">
      <c r="A2307"/>
      <c r="B2307"/>
      <c r="C2307"/>
      <c r="D2307"/>
      <c r="E2307"/>
      <c r="F2307"/>
      <c r="G2307"/>
      <c r="H2307"/>
      <c r="I2307"/>
      <c r="J2307" s="3"/>
      <c r="K2307" s="2"/>
      <c r="L2307" s="10"/>
      <c r="M2307" s="10"/>
      <c r="N2307" s="9"/>
      <c r="O2307" s="6"/>
      <c r="P2307" s="8"/>
      <c r="Q2307" s="6"/>
      <c r="R2307" s="8"/>
      <c r="S2307" s="6"/>
      <c r="T2307" s="8"/>
      <c r="U2307" s="7"/>
      <c r="V2307" s="7"/>
      <c r="W2307" s="6"/>
      <c r="X2307" s="2"/>
      <c r="Y2307" s="2"/>
      <c r="Z2307" s="2"/>
      <c r="AA2307" s="2"/>
    </row>
    <row r="2308" spans="1:27" s="1" customFormat="1">
      <c r="A2308"/>
      <c r="B2308"/>
      <c r="C2308"/>
      <c r="D2308"/>
      <c r="E2308"/>
      <c r="F2308"/>
      <c r="G2308"/>
      <c r="H2308"/>
      <c r="I2308"/>
      <c r="J2308" s="3"/>
      <c r="K2308" s="11"/>
      <c r="L2308" s="10"/>
      <c r="M2308" s="10"/>
      <c r="N2308" s="9"/>
      <c r="O2308" s="6"/>
      <c r="P2308" s="8"/>
      <c r="Q2308" s="6"/>
      <c r="R2308" s="8"/>
      <c r="S2308" s="6"/>
      <c r="T2308" s="8"/>
      <c r="U2308" s="7"/>
      <c r="V2308" s="7"/>
      <c r="W2308" s="6"/>
      <c r="X2308" s="2"/>
      <c r="Y2308" s="2"/>
      <c r="Z2308" s="2"/>
      <c r="AA2308" s="2"/>
    </row>
    <row r="2309" spans="1:27" s="1" customFormat="1">
      <c r="A2309"/>
      <c r="B2309"/>
      <c r="C2309"/>
      <c r="D2309"/>
      <c r="E2309"/>
      <c r="F2309"/>
      <c r="G2309"/>
      <c r="H2309"/>
      <c r="I2309"/>
      <c r="J2309" s="3"/>
      <c r="K2309" s="2"/>
      <c r="L2309" s="10"/>
      <c r="M2309" s="10"/>
      <c r="N2309" s="9"/>
      <c r="O2309" s="6"/>
      <c r="P2309" s="8"/>
      <c r="Q2309" s="6"/>
      <c r="R2309" s="8"/>
      <c r="S2309" s="6"/>
      <c r="T2309" s="8"/>
      <c r="U2309" s="7"/>
      <c r="V2309" s="7"/>
      <c r="W2309" s="6"/>
      <c r="X2309" s="2"/>
      <c r="Y2309" s="2"/>
      <c r="Z2309" s="2"/>
      <c r="AA2309" s="2"/>
    </row>
    <row r="2310" spans="1:27" s="1" customFormat="1">
      <c r="A2310"/>
      <c r="B2310"/>
      <c r="C2310"/>
      <c r="D2310"/>
      <c r="E2310"/>
      <c r="F2310"/>
      <c r="G2310"/>
      <c r="H2310"/>
      <c r="I2310"/>
      <c r="J2310" s="3"/>
      <c r="K2310" s="2"/>
      <c r="L2310" s="10"/>
      <c r="M2310" s="10"/>
      <c r="N2310" s="9"/>
      <c r="O2310" s="6"/>
      <c r="P2310" s="8"/>
      <c r="Q2310" s="6"/>
      <c r="R2310" s="8"/>
      <c r="S2310" s="6"/>
      <c r="T2310" s="8"/>
      <c r="U2310" s="7"/>
      <c r="V2310" s="7"/>
      <c r="W2310" s="6"/>
      <c r="X2310" s="2"/>
      <c r="Y2310" s="2"/>
      <c r="Z2310" s="2"/>
      <c r="AA2310" s="2"/>
    </row>
    <row r="2311" spans="1:27" s="1" customFormat="1">
      <c r="A2311"/>
      <c r="B2311"/>
      <c r="C2311"/>
      <c r="D2311"/>
      <c r="E2311"/>
      <c r="F2311"/>
      <c r="G2311"/>
      <c r="H2311"/>
      <c r="I2311"/>
      <c r="J2311" s="3"/>
      <c r="K2311" s="2"/>
      <c r="L2311" s="2"/>
      <c r="M2311" s="2"/>
      <c r="N2311" s="2"/>
      <c r="O2311" s="6"/>
      <c r="P2311" s="8"/>
      <c r="Q2311" s="6"/>
      <c r="R2311" s="8"/>
      <c r="S2311" s="6"/>
      <c r="T2311" s="8"/>
      <c r="U2311" s="7"/>
      <c r="V2311" s="7"/>
      <c r="W2311" s="6"/>
      <c r="X2311" s="2"/>
      <c r="Y2311" s="2"/>
      <c r="Z2311" s="2"/>
      <c r="AA2311" s="2"/>
    </row>
    <row r="2312" spans="1:27" s="1" customFormat="1">
      <c r="A2312"/>
      <c r="B2312"/>
      <c r="C2312"/>
      <c r="D2312"/>
      <c r="E2312"/>
      <c r="F2312"/>
      <c r="G2312"/>
      <c r="H2312"/>
      <c r="I2312"/>
      <c r="J2312" s="3"/>
      <c r="K2312" s="2"/>
      <c r="L2312" s="2"/>
      <c r="M2312" s="2"/>
      <c r="N2312" s="2"/>
      <c r="O2312" s="5"/>
      <c r="P2312" s="4"/>
      <c r="Q2312" s="2"/>
      <c r="R2312" s="2"/>
      <c r="S2312" s="2"/>
      <c r="T2312" s="2"/>
      <c r="U2312" s="2"/>
      <c r="V2312" s="2"/>
      <c r="W2312" s="2"/>
      <c r="X2312" s="2"/>
      <c r="Y2312" s="2"/>
      <c r="Z2312" s="2"/>
      <c r="AA2312" s="2"/>
    </row>
    <row r="2313" spans="1:27" s="1" customFormat="1">
      <c r="A2313"/>
      <c r="B2313"/>
      <c r="C2313"/>
      <c r="D2313"/>
      <c r="E2313"/>
      <c r="F2313"/>
      <c r="G2313"/>
      <c r="H2313"/>
      <c r="I2313"/>
      <c r="J2313" s="3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  <c r="X2313" s="2"/>
      <c r="Y2313" s="2"/>
      <c r="Z2313" s="2"/>
      <c r="AA2313" s="2"/>
    </row>
    <row r="2314" spans="1:27" s="1" customFormat="1">
      <c r="A2314"/>
      <c r="B2314"/>
      <c r="C2314"/>
      <c r="D2314"/>
      <c r="E2314"/>
      <c r="F2314"/>
      <c r="G2314"/>
      <c r="H2314"/>
      <c r="I2314"/>
      <c r="J2314" s="3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  <c r="X2314" s="2"/>
      <c r="Y2314" s="2"/>
      <c r="Z2314" s="2"/>
      <c r="AA2314" s="2"/>
    </row>
    <row r="2315" spans="1:27" s="1" customFormat="1">
      <c r="A2315"/>
      <c r="B2315"/>
      <c r="C2315"/>
      <c r="D2315"/>
      <c r="E2315"/>
      <c r="F2315"/>
      <c r="G2315"/>
      <c r="H2315"/>
      <c r="I2315"/>
      <c r="J2315" s="3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  <c r="X2315" s="2"/>
      <c r="Y2315" s="2"/>
      <c r="Z2315" s="2"/>
      <c r="AA2315" s="2"/>
    </row>
    <row r="2316" spans="1:27" s="1" customFormat="1">
      <c r="A2316"/>
      <c r="B2316"/>
      <c r="C2316"/>
      <c r="D2316"/>
      <c r="E2316"/>
      <c r="F2316"/>
      <c r="G2316"/>
      <c r="H2316"/>
      <c r="I2316"/>
      <c r="J2316" s="3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  <c r="X2316" s="2"/>
      <c r="Y2316" s="2"/>
      <c r="Z2316" s="2"/>
      <c r="AA2316" s="2"/>
    </row>
    <row r="2317" spans="1:27" s="1" customFormat="1">
      <c r="A2317"/>
      <c r="B2317"/>
      <c r="C2317"/>
      <c r="D2317"/>
      <c r="E2317"/>
      <c r="F2317"/>
      <c r="G2317"/>
      <c r="H2317"/>
      <c r="I2317"/>
      <c r="J2317" s="3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  <c r="X2317" s="2"/>
      <c r="Y2317" s="2"/>
      <c r="Z2317" s="2"/>
      <c r="AA2317" s="2"/>
    </row>
    <row r="2318" spans="1:27" s="1" customFormat="1">
      <c r="A2318"/>
      <c r="B2318"/>
      <c r="C2318"/>
      <c r="D2318"/>
      <c r="E2318"/>
      <c r="F2318"/>
      <c r="G2318"/>
      <c r="H2318"/>
      <c r="I2318"/>
      <c r="J2318" s="3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  <c r="X2318" s="2"/>
      <c r="Y2318" s="2"/>
      <c r="Z2318" s="2"/>
      <c r="AA2318" s="2"/>
    </row>
    <row r="2319" spans="1:27" s="1" customFormat="1">
      <c r="A2319"/>
      <c r="B2319"/>
      <c r="C2319"/>
      <c r="D2319"/>
      <c r="E2319"/>
      <c r="F2319"/>
      <c r="G2319"/>
      <c r="H2319"/>
      <c r="I2319"/>
      <c r="J2319" s="3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  <c r="X2319" s="2"/>
      <c r="Y2319" s="2"/>
      <c r="Z2319" s="2"/>
      <c r="AA2319" s="2"/>
    </row>
    <row r="2320" spans="1:27" s="1" customFormat="1">
      <c r="A2320"/>
      <c r="B2320"/>
      <c r="C2320"/>
      <c r="D2320"/>
      <c r="E2320"/>
      <c r="F2320"/>
      <c r="G2320"/>
      <c r="H2320"/>
      <c r="I2320"/>
      <c r="J2320" s="3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  <c r="X2320" s="2"/>
      <c r="Y2320" s="2"/>
      <c r="Z2320" s="2"/>
      <c r="AA2320" s="2"/>
    </row>
    <row r="2321" spans="1:27" s="1" customFormat="1">
      <c r="A2321"/>
      <c r="B2321"/>
      <c r="C2321"/>
      <c r="D2321"/>
      <c r="E2321"/>
      <c r="F2321"/>
      <c r="G2321"/>
      <c r="H2321"/>
      <c r="I2321"/>
      <c r="J2321" s="3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  <c r="X2321" s="2"/>
      <c r="Y2321" s="2"/>
      <c r="Z2321" s="2"/>
      <c r="AA2321" s="2"/>
    </row>
    <row r="2322" spans="1:27" s="1" customFormat="1">
      <c r="A2322"/>
      <c r="B2322"/>
      <c r="C2322"/>
      <c r="D2322"/>
      <c r="E2322"/>
      <c r="F2322"/>
      <c r="G2322"/>
      <c r="H2322"/>
      <c r="I2322"/>
      <c r="J2322" s="3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  <c r="X2322" s="2"/>
      <c r="Y2322" s="2"/>
      <c r="Z2322" s="2"/>
      <c r="AA2322" s="2"/>
    </row>
    <row r="2323" spans="1:27" s="1" customFormat="1">
      <c r="A2323"/>
      <c r="B2323"/>
      <c r="C2323"/>
      <c r="D2323"/>
      <c r="E2323"/>
      <c r="F2323"/>
      <c r="G2323"/>
      <c r="H2323"/>
      <c r="I2323"/>
      <c r="J2323" s="3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  <c r="X2323" s="2"/>
      <c r="Y2323" s="2"/>
      <c r="Z2323" s="2"/>
      <c r="AA2323" s="2"/>
    </row>
    <row r="2324" spans="1:27" s="1" customFormat="1">
      <c r="A2324"/>
      <c r="B2324"/>
      <c r="C2324"/>
      <c r="D2324"/>
      <c r="E2324"/>
      <c r="F2324"/>
      <c r="G2324"/>
      <c r="H2324"/>
      <c r="I2324"/>
      <c r="J2324" s="3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  <c r="X2324" s="2"/>
      <c r="Y2324" s="2"/>
      <c r="Z2324" s="2"/>
      <c r="AA2324" s="2"/>
    </row>
    <row r="2325" spans="1:27" s="1" customFormat="1">
      <c r="A2325"/>
      <c r="B2325"/>
      <c r="C2325"/>
      <c r="D2325"/>
      <c r="E2325"/>
      <c r="F2325"/>
      <c r="G2325"/>
      <c r="H2325"/>
      <c r="I2325"/>
      <c r="J2325" s="3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  <c r="X2325" s="2"/>
      <c r="Y2325" s="2"/>
      <c r="Z2325" s="2"/>
      <c r="AA2325" s="2"/>
    </row>
    <row r="2326" spans="1:27" s="1" customFormat="1">
      <c r="A2326"/>
      <c r="B2326"/>
      <c r="C2326"/>
      <c r="D2326"/>
      <c r="E2326"/>
      <c r="F2326"/>
      <c r="G2326"/>
      <c r="H2326"/>
      <c r="I2326"/>
      <c r="J2326" s="3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  <c r="X2326" s="2"/>
      <c r="Y2326" s="2"/>
      <c r="Z2326" s="2"/>
      <c r="AA2326" s="2"/>
    </row>
    <row r="2327" spans="1:27" s="1" customFormat="1">
      <c r="A2327"/>
      <c r="B2327"/>
      <c r="C2327"/>
      <c r="D2327"/>
      <c r="E2327"/>
      <c r="F2327"/>
      <c r="G2327"/>
      <c r="H2327"/>
      <c r="I2327"/>
      <c r="J2327" s="3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  <c r="X2327" s="2"/>
      <c r="Y2327" s="2"/>
      <c r="Z2327" s="2"/>
      <c r="AA2327" s="2"/>
    </row>
    <row r="2328" spans="1:27" s="1" customFormat="1">
      <c r="A2328"/>
      <c r="B2328"/>
      <c r="C2328"/>
      <c r="D2328"/>
      <c r="E2328"/>
      <c r="F2328"/>
      <c r="G2328"/>
      <c r="H2328"/>
      <c r="I2328"/>
      <c r="J2328" s="3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  <c r="X2328" s="2"/>
      <c r="Y2328" s="2"/>
      <c r="Z2328" s="2"/>
      <c r="AA2328" s="2"/>
    </row>
    <row r="2329" spans="1:27" s="1" customFormat="1">
      <c r="A2329"/>
      <c r="B2329"/>
      <c r="C2329"/>
      <c r="D2329"/>
      <c r="E2329"/>
      <c r="F2329"/>
      <c r="G2329"/>
      <c r="H2329"/>
      <c r="I2329"/>
      <c r="J2329" s="3"/>
      <c r="K2329" s="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2"/>
      <c r="W2329" s="12"/>
      <c r="X2329" s="2"/>
      <c r="Y2329" s="2"/>
      <c r="Z2329" s="2"/>
      <c r="AA2329" s="2"/>
    </row>
    <row r="2330" spans="1:27" s="1" customFormat="1">
      <c r="A2330"/>
      <c r="B2330"/>
      <c r="C2330"/>
      <c r="D2330"/>
      <c r="E2330"/>
      <c r="F2330"/>
      <c r="G2330"/>
      <c r="H2330"/>
      <c r="I2330"/>
      <c r="J2330" s="3"/>
      <c r="K2330" s="2"/>
      <c r="L2330" s="14"/>
      <c r="M2330" s="14"/>
      <c r="N2330" s="14"/>
      <c r="O2330" s="12"/>
      <c r="P2330" s="12"/>
      <c r="Q2330" s="12"/>
      <c r="R2330" s="14"/>
      <c r="S2330" s="14"/>
      <c r="T2330" s="12"/>
      <c r="U2330" s="2"/>
      <c r="V2330" s="12"/>
      <c r="W2330" s="2"/>
      <c r="X2330" s="2"/>
      <c r="Y2330" s="2"/>
      <c r="Z2330" s="2"/>
      <c r="AA2330" s="2"/>
    </row>
    <row r="2331" spans="1:27" s="1" customFormat="1">
      <c r="A2331"/>
      <c r="B2331"/>
      <c r="C2331"/>
      <c r="D2331"/>
      <c r="E2331"/>
      <c r="F2331"/>
      <c r="G2331"/>
      <c r="H2331"/>
      <c r="I2331"/>
      <c r="J2331" s="3"/>
      <c r="K2331" s="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3"/>
      <c r="V2331" s="13"/>
      <c r="W2331" s="12"/>
      <c r="X2331" s="2"/>
      <c r="Y2331" s="2"/>
      <c r="Z2331" s="2"/>
      <c r="AA2331" s="2"/>
    </row>
    <row r="2332" spans="1:27" s="1" customFormat="1">
      <c r="A2332"/>
      <c r="B2332"/>
      <c r="C2332"/>
      <c r="D2332"/>
      <c r="E2332"/>
      <c r="F2332"/>
      <c r="G2332"/>
      <c r="H2332"/>
      <c r="I2332"/>
      <c r="J2332" s="3"/>
      <c r="K2332" s="2"/>
      <c r="L2332" s="10"/>
      <c r="M2332" s="10"/>
      <c r="N2332" s="9"/>
      <c r="O2332" s="6"/>
      <c r="P2332" s="8"/>
      <c r="Q2332" s="6"/>
      <c r="R2332" s="8"/>
      <c r="S2332" s="6"/>
      <c r="T2332" s="8"/>
      <c r="U2332" s="7"/>
      <c r="V2332" s="7"/>
      <c r="W2332" s="6"/>
      <c r="X2332" s="2"/>
      <c r="Y2332" s="2"/>
      <c r="Z2332" s="2"/>
      <c r="AA2332" s="2"/>
    </row>
    <row r="2333" spans="1:27" s="1" customFormat="1">
      <c r="A2333"/>
      <c r="B2333"/>
      <c r="C2333"/>
      <c r="D2333"/>
      <c r="E2333"/>
      <c r="F2333"/>
      <c r="G2333"/>
      <c r="H2333"/>
      <c r="I2333"/>
      <c r="J2333" s="3"/>
      <c r="K2333" s="11"/>
      <c r="L2333" s="10"/>
      <c r="M2333" s="10"/>
      <c r="N2333" s="9"/>
      <c r="O2333" s="6"/>
      <c r="P2333" s="8"/>
      <c r="Q2333" s="6"/>
      <c r="R2333" s="8"/>
      <c r="S2333" s="6"/>
      <c r="T2333" s="8"/>
      <c r="U2333" s="7"/>
      <c r="V2333" s="7"/>
      <c r="W2333" s="6"/>
      <c r="X2333" s="2"/>
      <c r="Y2333" s="2"/>
      <c r="Z2333" s="2"/>
      <c r="AA2333" s="2"/>
    </row>
    <row r="2334" spans="1:27" s="1" customFormat="1">
      <c r="A2334"/>
      <c r="B2334"/>
      <c r="C2334"/>
      <c r="D2334"/>
      <c r="E2334"/>
      <c r="F2334"/>
      <c r="G2334"/>
      <c r="H2334"/>
      <c r="I2334"/>
      <c r="J2334" s="3"/>
      <c r="K2334" s="2"/>
      <c r="L2334" s="10"/>
      <c r="M2334" s="10"/>
      <c r="N2334" s="9"/>
      <c r="O2334" s="6"/>
      <c r="P2334" s="8"/>
      <c r="Q2334" s="6"/>
      <c r="R2334" s="8"/>
      <c r="S2334" s="6"/>
      <c r="T2334" s="8"/>
      <c r="U2334" s="7"/>
      <c r="V2334" s="7"/>
      <c r="W2334" s="6"/>
      <c r="X2334" s="2"/>
      <c r="Y2334" s="2"/>
      <c r="Z2334" s="2"/>
      <c r="AA2334" s="2"/>
    </row>
    <row r="2335" spans="1:27" s="1" customFormat="1">
      <c r="A2335"/>
      <c r="B2335"/>
      <c r="C2335"/>
      <c r="D2335"/>
      <c r="E2335"/>
      <c r="F2335"/>
      <c r="G2335"/>
      <c r="H2335"/>
      <c r="I2335"/>
      <c r="J2335" s="3"/>
      <c r="K2335" s="2"/>
      <c r="L2335" s="10"/>
      <c r="M2335" s="10"/>
      <c r="N2335" s="9"/>
      <c r="O2335" s="6"/>
      <c r="P2335" s="8"/>
      <c r="Q2335" s="6"/>
      <c r="R2335" s="8"/>
      <c r="S2335" s="6"/>
      <c r="T2335" s="8"/>
      <c r="U2335" s="7"/>
      <c r="V2335" s="7"/>
      <c r="W2335" s="6"/>
      <c r="X2335" s="2"/>
      <c r="Y2335" s="2"/>
      <c r="Z2335" s="2"/>
      <c r="AA2335" s="2"/>
    </row>
    <row r="2336" spans="1:27" s="1" customFormat="1">
      <c r="A2336"/>
      <c r="B2336"/>
      <c r="C2336"/>
      <c r="D2336"/>
      <c r="E2336"/>
      <c r="F2336"/>
      <c r="G2336"/>
      <c r="H2336"/>
      <c r="I2336"/>
      <c r="J2336" s="3"/>
      <c r="K2336" s="2"/>
      <c r="L2336" s="2"/>
      <c r="M2336" s="2"/>
      <c r="N2336" s="2"/>
      <c r="O2336" s="6"/>
      <c r="P2336" s="8"/>
      <c r="Q2336" s="6"/>
      <c r="R2336" s="8"/>
      <c r="S2336" s="6"/>
      <c r="T2336" s="8"/>
      <c r="U2336" s="7"/>
      <c r="V2336" s="7"/>
      <c r="W2336" s="6"/>
      <c r="X2336" s="2"/>
      <c r="Y2336" s="2"/>
      <c r="Z2336" s="2"/>
      <c r="AA2336" s="2"/>
    </row>
    <row r="2337" spans="1:27" s="1" customFormat="1">
      <c r="A2337"/>
      <c r="B2337"/>
      <c r="C2337"/>
      <c r="D2337"/>
      <c r="E2337"/>
      <c r="F2337"/>
      <c r="G2337"/>
      <c r="H2337"/>
      <c r="I2337"/>
      <c r="J2337" s="3"/>
      <c r="K2337" s="2"/>
      <c r="L2337" s="2"/>
      <c r="M2337" s="2"/>
      <c r="N2337" s="2"/>
      <c r="O2337" s="5"/>
      <c r="P2337" s="4"/>
      <c r="Q2337" s="2"/>
      <c r="R2337" s="2"/>
      <c r="S2337" s="2"/>
      <c r="T2337" s="2"/>
      <c r="U2337" s="2"/>
      <c r="V2337" s="2"/>
      <c r="W2337" s="2"/>
      <c r="X2337" s="2"/>
      <c r="Y2337" s="2"/>
      <c r="Z2337" s="2"/>
      <c r="AA2337" s="2"/>
    </row>
    <row r="2338" spans="1:27" s="1" customFormat="1">
      <c r="A2338"/>
      <c r="B2338"/>
      <c r="C2338"/>
      <c r="D2338"/>
      <c r="E2338"/>
      <c r="F2338"/>
      <c r="G2338"/>
      <c r="H2338"/>
      <c r="I2338"/>
      <c r="J2338" s="3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  <c r="X2338" s="2"/>
      <c r="Y2338" s="2"/>
      <c r="Z2338" s="2"/>
      <c r="AA2338" s="2"/>
    </row>
    <row r="2339" spans="1:27" s="1" customFormat="1">
      <c r="A2339"/>
      <c r="B2339"/>
      <c r="C2339"/>
      <c r="D2339"/>
      <c r="E2339"/>
      <c r="F2339"/>
      <c r="G2339"/>
      <c r="H2339"/>
      <c r="I2339"/>
      <c r="J2339" s="3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  <c r="X2339" s="2"/>
      <c r="Y2339" s="2"/>
      <c r="Z2339" s="2"/>
      <c r="AA2339" s="2"/>
    </row>
    <row r="2340" spans="1:27" s="1" customFormat="1">
      <c r="A2340"/>
      <c r="B2340"/>
      <c r="C2340"/>
      <c r="D2340"/>
      <c r="E2340"/>
      <c r="F2340"/>
      <c r="G2340"/>
      <c r="H2340"/>
      <c r="I2340"/>
      <c r="J2340" s="3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  <c r="X2340" s="2"/>
      <c r="Y2340" s="2"/>
      <c r="Z2340" s="2"/>
      <c r="AA2340" s="2"/>
    </row>
    <row r="2341" spans="1:27" s="1" customFormat="1">
      <c r="A2341"/>
      <c r="B2341"/>
      <c r="C2341"/>
      <c r="D2341"/>
      <c r="E2341"/>
      <c r="F2341"/>
      <c r="G2341"/>
      <c r="H2341"/>
      <c r="I2341"/>
      <c r="J2341" s="3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  <c r="X2341" s="2"/>
      <c r="Y2341" s="2"/>
      <c r="Z2341" s="2"/>
      <c r="AA2341" s="2"/>
    </row>
    <row r="2342" spans="1:27" s="1" customFormat="1">
      <c r="A2342"/>
      <c r="B2342"/>
      <c r="C2342"/>
      <c r="D2342"/>
      <c r="E2342"/>
      <c r="F2342"/>
      <c r="G2342"/>
      <c r="H2342"/>
      <c r="I2342"/>
      <c r="J2342" s="3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  <c r="X2342" s="2"/>
      <c r="Y2342" s="2"/>
      <c r="Z2342" s="2"/>
      <c r="AA2342" s="2"/>
    </row>
    <row r="2343" spans="1:27" s="1" customFormat="1">
      <c r="A2343"/>
      <c r="B2343"/>
      <c r="C2343"/>
      <c r="D2343"/>
      <c r="E2343"/>
      <c r="F2343"/>
      <c r="G2343"/>
      <c r="H2343"/>
      <c r="I2343"/>
      <c r="J2343" s="3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  <c r="X2343" s="2"/>
      <c r="Y2343" s="2"/>
      <c r="Z2343" s="2"/>
      <c r="AA2343" s="2"/>
    </row>
    <row r="2344" spans="1:27" s="1" customFormat="1">
      <c r="A2344"/>
      <c r="B2344"/>
      <c r="C2344"/>
      <c r="D2344"/>
      <c r="E2344"/>
      <c r="F2344"/>
      <c r="G2344"/>
      <c r="H2344"/>
      <c r="I2344"/>
      <c r="J2344" s="3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  <c r="X2344" s="2"/>
      <c r="Y2344" s="2"/>
      <c r="Z2344" s="2"/>
      <c r="AA2344" s="2"/>
    </row>
    <row r="2345" spans="1:27" s="1" customFormat="1">
      <c r="A2345"/>
      <c r="B2345"/>
      <c r="C2345"/>
      <c r="D2345"/>
      <c r="E2345"/>
      <c r="F2345"/>
      <c r="G2345"/>
      <c r="H2345"/>
      <c r="I2345"/>
      <c r="J2345" s="3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  <c r="X2345" s="2"/>
      <c r="Y2345" s="2"/>
      <c r="Z2345" s="2"/>
      <c r="AA2345" s="2"/>
    </row>
    <row r="2346" spans="1:27" s="1" customFormat="1">
      <c r="A2346"/>
      <c r="B2346"/>
      <c r="C2346"/>
      <c r="D2346"/>
      <c r="E2346"/>
      <c r="F2346"/>
      <c r="G2346"/>
      <c r="H2346"/>
      <c r="I2346"/>
      <c r="J2346" s="3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  <c r="X2346" s="2"/>
      <c r="Y2346" s="2"/>
      <c r="Z2346" s="2"/>
      <c r="AA2346" s="2"/>
    </row>
    <row r="2347" spans="1:27" s="1" customFormat="1">
      <c r="A2347"/>
      <c r="B2347"/>
      <c r="C2347"/>
      <c r="D2347"/>
      <c r="E2347"/>
      <c r="F2347"/>
      <c r="G2347"/>
      <c r="H2347"/>
      <c r="I2347"/>
      <c r="J2347" s="3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  <c r="X2347" s="2"/>
      <c r="Y2347" s="2"/>
      <c r="Z2347" s="2"/>
      <c r="AA2347" s="2"/>
    </row>
    <row r="2348" spans="1:27" s="1" customFormat="1">
      <c r="A2348"/>
      <c r="B2348"/>
      <c r="C2348"/>
      <c r="D2348"/>
      <c r="E2348"/>
      <c r="F2348"/>
      <c r="G2348"/>
      <c r="H2348"/>
      <c r="I2348"/>
      <c r="J2348" s="3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  <c r="X2348" s="2"/>
      <c r="Y2348" s="2"/>
      <c r="Z2348" s="2"/>
      <c r="AA2348" s="2"/>
    </row>
    <row r="2349" spans="1:27" s="1" customFormat="1">
      <c r="A2349"/>
      <c r="B2349"/>
      <c r="C2349"/>
      <c r="D2349"/>
      <c r="E2349"/>
      <c r="F2349"/>
      <c r="G2349"/>
      <c r="H2349"/>
      <c r="I2349"/>
      <c r="J2349" s="3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  <c r="X2349" s="2"/>
      <c r="Y2349" s="2"/>
      <c r="Z2349" s="2"/>
      <c r="AA2349" s="2"/>
    </row>
    <row r="2350" spans="1:27" s="1" customFormat="1">
      <c r="A2350"/>
      <c r="B2350"/>
      <c r="C2350"/>
      <c r="D2350"/>
      <c r="E2350"/>
      <c r="F2350"/>
      <c r="G2350"/>
      <c r="H2350"/>
      <c r="I2350"/>
      <c r="J2350" s="3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  <c r="X2350" s="2"/>
      <c r="Y2350" s="2"/>
      <c r="Z2350" s="2"/>
      <c r="AA2350" s="2"/>
    </row>
    <row r="2351" spans="1:27" s="1" customFormat="1">
      <c r="A2351"/>
      <c r="B2351"/>
      <c r="C2351"/>
      <c r="D2351"/>
      <c r="E2351"/>
      <c r="F2351"/>
      <c r="G2351"/>
      <c r="H2351"/>
      <c r="I2351"/>
      <c r="J2351" s="3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  <c r="X2351" s="2"/>
      <c r="Y2351" s="2"/>
      <c r="Z2351" s="2"/>
      <c r="AA2351" s="2"/>
    </row>
    <row r="2352" spans="1:27" s="1" customFormat="1">
      <c r="A2352"/>
      <c r="B2352"/>
      <c r="C2352"/>
      <c r="D2352"/>
      <c r="E2352"/>
      <c r="F2352"/>
      <c r="G2352"/>
      <c r="H2352"/>
      <c r="I2352"/>
      <c r="J2352" s="3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  <c r="X2352" s="2"/>
      <c r="Y2352" s="2"/>
      <c r="Z2352" s="2"/>
      <c r="AA2352" s="2"/>
    </row>
    <row r="2353" spans="1:27" s="1" customFormat="1">
      <c r="A2353"/>
      <c r="B2353"/>
      <c r="C2353"/>
      <c r="D2353"/>
      <c r="E2353"/>
      <c r="F2353"/>
      <c r="G2353"/>
      <c r="H2353"/>
      <c r="I2353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  <c r="X2353" s="2"/>
      <c r="Y2353" s="2"/>
      <c r="Z2353" s="2"/>
      <c r="AA2353" s="2"/>
    </row>
    <row r="2354" spans="1:27" s="1" customFormat="1">
      <c r="A2354"/>
      <c r="B2354"/>
      <c r="C2354"/>
      <c r="D2354"/>
      <c r="E2354"/>
      <c r="F2354"/>
      <c r="G2354"/>
      <c r="H2354"/>
      <c r="I2354"/>
      <c r="K2354" s="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2"/>
      <c r="W2354" s="12"/>
      <c r="X2354" s="2"/>
      <c r="Y2354" s="2"/>
      <c r="Z2354" s="2"/>
      <c r="AA2354" s="2"/>
    </row>
    <row r="2355" spans="1:27" s="1" customFormat="1">
      <c r="A2355"/>
      <c r="B2355"/>
      <c r="C2355"/>
      <c r="D2355"/>
      <c r="E2355"/>
      <c r="F2355"/>
      <c r="G2355"/>
      <c r="H2355"/>
      <c r="I2355"/>
      <c r="K2355" s="2"/>
      <c r="L2355" s="14"/>
      <c r="M2355" s="14"/>
      <c r="N2355" s="14"/>
      <c r="O2355" s="12"/>
      <c r="P2355" s="12"/>
      <c r="Q2355" s="12"/>
      <c r="R2355" s="14"/>
      <c r="S2355" s="14"/>
      <c r="T2355" s="12"/>
      <c r="U2355" s="2"/>
      <c r="V2355" s="12"/>
      <c r="W2355" s="2"/>
      <c r="X2355" s="2"/>
      <c r="Y2355" s="2"/>
      <c r="Z2355" s="2"/>
      <c r="AA2355" s="2"/>
    </row>
    <row r="2356" spans="1:27" s="1" customFormat="1">
      <c r="A2356"/>
      <c r="B2356"/>
      <c r="C2356"/>
      <c r="D2356"/>
      <c r="E2356"/>
      <c r="F2356"/>
      <c r="G2356"/>
      <c r="H2356"/>
      <c r="I2356"/>
      <c r="K2356" s="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3"/>
      <c r="V2356" s="13"/>
      <c r="W2356" s="12"/>
      <c r="X2356" s="2"/>
      <c r="Y2356" s="2"/>
      <c r="Z2356" s="2"/>
      <c r="AA2356" s="2"/>
    </row>
    <row r="2357" spans="1:27" s="1" customFormat="1">
      <c r="A2357"/>
      <c r="B2357"/>
      <c r="C2357"/>
      <c r="D2357"/>
      <c r="E2357"/>
      <c r="F2357"/>
      <c r="G2357"/>
      <c r="H2357"/>
      <c r="I2357"/>
      <c r="K2357" s="2"/>
      <c r="L2357" s="10"/>
      <c r="M2357" s="10"/>
      <c r="N2357" s="9"/>
      <c r="O2357" s="6"/>
      <c r="P2357" s="8"/>
      <c r="Q2357" s="6"/>
      <c r="R2357" s="8"/>
      <c r="S2357" s="6"/>
      <c r="T2357" s="8"/>
      <c r="U2357" s="7"/>
      <c r="V2357" s="7"/>
      <c r="W2357" s="6"/>
      <c r="X2357" s="2"/>
      <c r="Y2357" s="2"/>
      <c r="Z2357" s="2"/>
      <c r="AA2357" s="2"/>
    </row>
    <row r="2358" spans="1:27" s="1" customFormat="1">
      <c r="A2358"/>
      <c r="B2358"/>
      <c r="C2358"/>
      <c r="D2358"/>
      <c r="E2358"/>
      <c r="F2358"/>
      <c r="G2358"/>
      <c r="H2358"/>
      <c r="I2358"/>
      <c r="K2358" s="11"/>
      <c r="L2358" s="10"/>
      <c r="M2358" s="10"/>
      <c r="N2358" s="9"/>
      <c r="O2358" s="6"/>
      <c r="P2358" s="8"/>
      <c r="Q2358" s="6"/>
      <c r="R2358" s="8"/>
      <c r="S2358" s="6"/>
      <c r="T2358" s="8"/>
      <c r="U2358" s="7"/>
      <c r="V2358" s="7"/>
      <c r="W2358" s="6"/>
      <c r="X2358" s="2"/>
      <c r="Y2358" s="2"/>
      <c r="Z2358" s="2"/>
      <c r="AA2358" s="2"/>
    </row>
    <row r="2359" spans="1:27" s="1" customFormat="1">
      <c r="A2359"/>
      <c r="B2359"/>
      <c r="C2359"/>
      <c r="D2359"/>
      <c r="E2359"/>
      <c r="F2359"/>
      <c r="G2359"/>
      <c r="H2359"/>
      <c r="I2359"/>
      <c r="K2359" s="2"/>
      <c r="L2359" s="10"/>
      <c r="M2359" s="10"/>
      <c r="N2359" s="9"/>
      <c r="O2359" s="6"/>
      <c r="P2359" s="8"/>
      <c r="Q2359" s="6"/>
      <c r="R2359" s="8"/>
      <c r="S2359" s="6"/>
      <c r="T2359" s="8"/>
      <c r="U2359" s="7"/>
      <c r="V2359" s="7"/>
      <c r="W2359" s="6"/>
      <c r="X2359" s="2"/>
      <c r="Y2359" s="2"/>
      <c r="Z2359" s="2"/>
      <c r="AA2359" s="2"/>
    </row>
    <row r="2360" spans="1:27" s="1" customFormat="1">
      <c r="A2360"/>
      <c r="B2360"/>
      <c r="C2360"/>
      <c r="D2360"/>
      <c r="E2360"/>
      <c r="F2360"/>
      <c r="G2360"/>
      <c r="H2360"/>
      <c r="I2360"/>
      <c r="K2360" s="2"/>
      <c r="L2360" s="10"/>
      <c r="M2360" s="10"/>
      <c r="N2360" s="9"/>
      <c r="O2360" s="6"/>
      <c r="P2360" s="8"/>
      <c r="Q2360" s="6"/>
      <c r="R2360" s="8"/>
      <c r="S2360" s="6"/>
      <c r="T2360" s="8"/>
      <c r="U2360" s="7"/>
      <c r="V2360" s="7"/>
      <c r="W2360" s="6"/>
      <c r="X2360" s="2"/>
      <c r="Y2360" s="2"/>
      <c r="Z2360" s="2"/>
      <c r="AA2360" s="2"/>
    </row>
    <row r="2361" spans="1:27" s="1" customFormat="1">
      <c r="A2361"/>
      <c r="B2361"/>
      <c r="C2361"/>
      <c r="D2361"/>
      <c r="E2361"/>
      <c r="F2361"/>
      <c r="G2361"/>
      <c r="H2361"/>
      <c r="I2361"/>
      <c r="K2361" s="2"/>
      <c r="L2361" s="2"/>
      <c r="M2361" s="2"/>
      <c r="N2361" s="2"/>
      <c r="O2361" s="6"/>
      <c r="P2361" s="8"/>
      <c r="Q2361" s="6"/>
      <c r="R2361" s="8"/>
      <c r="S2361" s="6"/>
      <c r="T2361" s="8"/>
      <c r="U2361" s="7"/>
      <c r="V2361" s="7"/>
      <c r="W2361" s="6"/>
      <c r="X2361" s="2"/>
      <c r="Y2361" s="2"/>
      <c r="Z2361" s="2"/>
      <c r="AA2361" s="2"/>
    </row>
    <row r="2362" spans="1:27" s="1" customFormat="1">
      <c r="A2362"/>
      <c r="B2362"/>
      <c r="C2362"/>
      <c r="D2362"/>
      <c r="E2362"/>
      <c r="F2362"/>
      <c r="G2362"/>
      <c r="H2362"/>
      <c r="I2362"/>
      <c r="K2362" s="2"/>
      <c r="L2362" s="2"/>
      <c r="M2362" s="2"/>
      <c r="N2362" s="2"/>
      <c r="O2362" s="5"/>
      <c r="P2362" s="4"/>
      <c r="Q2362" s="2"/>
      <c r="R2362" s="2"/>
      <c r="S2362" s="2"/>
      <c r="T2362" s="2"/>
      <c r="U2362" s="2"/>
      <c r="V2362" s="2"/>
      <c r="W2362" s="2"/>
      <c r="X2362" s="2"/>
      <c r="Y2362" s="2"/>
      <c r="Z2362" s="2"/>
      <c r="AA2362" s="2"/>
    </row>
    <row r="2363" spans="1:27" s="1" customFormat="1">
      <c r="A2363"/>
      <c r="B2363"/>
      <c r="C2363"/>
      <c r="D2363"/>
      <c r="E2363"/>
      <c r="F2363"/>
      <c r="G2363"/>
      <c r="H2363"/>
      <c r="I2363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  <c r="X2363" s="2"/>
      <c r="Y2363" s="2"/>
      <c r="Z2363" s="2"/>
      <c r="AA2363" s="2"/>
    </row>
    <row r="2364" spans="1:27" s="1" customFormat="1">
      <c r="A2364"/>
      <c r="B2364"/>
      <c r="C2364"/>
      <c r="D2364"/>
      <c r="E2364"/>
      <c r="F2364"/>
      <c r="G2364"/>
      <c r="H2364"/>
      <c r="I2364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  <c r="X2364" s="2"/>
      <c r="Y2364" s="2"/>
      <c r="Z2364" s="2"/>
      <c r="AA2364" s="2"/>
    </row>
    <row r="2365" spans="1:27" s="1" customFormat="1">
      <c r="A2365"/>
      <c r="B2365"/>
      <c r="C2365"/>
      <c r="D2365"/>
      <c r="E2365"/>
      <c r="F2365"/>
      <c r="G2365"/>
      <c r="H2365"/>
      <c r="I2365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  <c r="X2365" s="2"/>
      <c r="Y2365" s="2"/>
      <c r="Z2365" s="2"/>
      <c r="AA2365" s="2"/>
    </row>
    <row r="2366" spans="1:27" s="1" customFormat="1">
      <c r="A2366"/>
      <c r="B2366"/>
      <c r="C2366"/>
      <c r="D2366"/>
      <c r="E2366"/>
      <c r="F2366"/>
      <c r="G2366"/>
      <c r="H2366"/>
      <c r="I2366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  <c r="X2366" s="2"/>
      <c r="Y2366" s="2"/>
      <c r="Z2366" s="2"/>
      <c r="AA2366" s="2"/>
    </row>
    <row r="2367" spans="1:27" s="1" customFormat="1">
      <c r="A2367"/>
      <c r="B2367"/>
      <c r="C2367"/>
      <c r="D2367"/>
      <c r="E2367"/>
      <c r="F2367"/>
      <c r="G2367"/>
      <c r="H2367"/>
      <c r="I2367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  <c r="X2367" s="2"/>
      <c r="Y2367" s="2"/>
      <c r="Z2367" s="2"/>
      <c r="AA2367" s="2"/>
    </row>
    <row r="2368" spans="1:27" s="1" customFormat="1">
      <c r="A2368"/>
      <c r="B2368"/>
      <c r="C2368"/>
      <c r="D2368"/>
      <c r="E2368"/>
      <c r="F2368"/>
      <c r="G2368"/>
      <c r="H2368"/>
      <c r="I2368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  <c r="X2368" s="2"/>
      <c r="Y2368" s="2"/>
      <c r="Z2368" s="2"/>
      <c r="AA2368" s="2"/>
    </row>
    <row r="2369" spans="1:27" s="1" customFormat="1">
      <c r="A2369"/>
      <c r="B2369"/>
      <c r="C2369"/>
      <c r="D2369"/>
      <c r="E2369"/>
      <c r="F2369"/>
      <c r="G2369"/>
      <c r="H2369"/>
      <c r="I2369"/>
      <c r="J2369" s="3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  <c r="X2369" s="2"/>
      <c r="Y2369" s="2"/>
      <c r="Z2369" s="2"/>
      <c r="AA2369" s="2"/>
    </row>
    <row r="2370" spans="1:27" s="1" customFormat="1">
      <c r="A2370"/>
      <c r="B2370"/>
      <c r="C2370"/>
      <c r="D2370"/>
      <c r="E2370"/>
      <c r="F2370"/>
      <c r="G2370"/>
      <c r="H2370"/>
      <c r="I2370"/>
      <c r="J2370" s="3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  <c r="X2370" s="2"/>
      <c r="Y2370" s="2"/>
      <c r="Z2370" s="2"/>
      <c r="AA2370" s="2"/>
    </row>
    <row r="2371" spans="1:27" s="1" customFormat="1">
      <c r="A2371"/>
      <c r="B2371"/>
      <c r="C2371"/>
      <c r="D2371"/>
      <c r="E2371"/>
      <c r="F2371"/>
      <c r="G2371"/>
      <c r="H2371"/>
      <c r="I2371"/>
      <c r="J2371" s="3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  <c r="X2371" s="2"/>
      <c r="Y2371" s="2"/>
      <c r="Z2371" s="2"/>
      <c r="AA2371" s="2"/>
    </row>
    <row r="2372" spans="1:27" s="1" customFormat="1">
      <c r="A2372"/>
      <c r="B2372"/>
      <c r="C2372"/>
      <c r="D2372"/>
      <c r="E2372"/>
      <c r="F2372"/>
      <c r="G2372"/>
      <c r="H2372"/>
      <c r="I2372"/>
      <c r="J2372" s="3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  <c r="X2372" s="2"/>
      <c r="Y2372" s="2"/>
      <c r="Z2372" s="2"/>
      <c r="AA2372" s="2"/>
    </row>
    <row r="2373" spans="1:27" s="1" customFormat="1">
      <c r="A2373"/>
      <c r="B2373"/>
      <c r="C2373"/>
      <c r="D2373"/>
      <c r="E2373"/>
      <c r="F2373"/>
      <c r="G2373"/>
      <c r="H2373"/>
      <c r="I2373"/>
      <c r="J2373" s="3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  <c r="X2373" s="2"/>
      <c r="Y2373" s="2"/>
      <c r="Z2373" s="2"/>
      <c r="AA2373" s="2"/>
    </row>
    <row r="2374" spans="1:27" s="1" customFormat="1">
      <c r="A2374"/>
      <c r="B2374"/>
      <c r="C2374"/>
      <c r="D2374"/>
      <c r="E2374"/>
      <c r="F2374"/>
      <c r="G2374"/>
      <c r="H2374"/>
      <c r="I2374"/>
      <c r="J2374" s="3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  <c r="X2374" s="2"/>
      <c r="Y2374" s="2"/>
      <c r="Z2374" s="2"/>
      <c r="AA2374" s="2"/>
    </row>
    <row r="2375" spans="1:27" s="1" customFormat="1">
      <c r="A2375"/>
      <c r="B2375"/>
      <c r="C2375"/>
      <c r="D2375"/>
      <c r="E2375"/>
      <c r="F2375"/>
      <c r="G2375"/>
      <c r="H2375"/>
      <c r="I2375"/>
      <c r="J2375" s="3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  <c r="X2375" s="2"/>
      <c r="Y2375" s="2"/>
      <c r="Z2375" s="2"/>
      <c r="AA2375" s="2"/>
    </row>
    <row r="2376" spans="1:27" s="1" customFormat="1">
      <c r="A2376"/>
      <c r="B2376"/>
      <c r="C2376"/>
      <c r="D2376"/>
      <c r="E2376"/>
      <c r="F2376"/>
      <c r="G2376"/>
      <c r="H2376"/>
      <c r="I2376"/>
      <c r="J2376" s="3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  <c r="X2376" s="2"/>
      <c r="Y2376" s="2"/>
      <c r="Z2376" s="2"/>
      <c r="AA2376" s="2"/>
    </row>
    <row r="2377" spans="1:27" s="1" customFormat="1">
      <c r="A2377"/>
      <c r="B2377"/>
      <c r="C2377"/>
      <c r="D2377"/>
      <c r="E2377"/>
      <c r="F2377"/>
      <c r="G2377"/>
      <c r="H2377"/>
      <c r="I2377"/>
      <c r="J2377" s="3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  <c r="X2377" s="2"/>
      <c r="Y2377" s="2"/>
      <c r="Z2377" s="2"/>
      <c r="AA2377" s="2"/>
    </row>
    <row r="2378" spans="1:27" s="1" customFormat="1">
      <c r="A2378"/>
      <c r="B2378"/>
      <c r="C2378"/>
      <c r="D2378"/>
      <c r="E2378"/>
      <c r="F2378"/>
      <c r="G2378"/>
      <c r="H2378"/>
      <c r="I2378"/>
      <c r="J2378" s="3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  <c r="X2378" s="2"/>
      <c r="Y2378" s="2"/>
      <c r="Z2378" s="2"/>
      <c r="AA2378" s="2"/>
    </row>
    <row r="2379" spans="1:27" s="1" customFormat="1">
      <c r="A2379"/>
      <c r="B2379"/>
      <c r="C2379"/>
      <c r="D2379"/>
      <c r="E2379"/>
      <c r="F2379"/>
      <c r="G2379"/>
      <c r="H2379"/>
      <c r="I2379"/>
      <c r="J2379" s="3"/>
      <c r="K2379" s="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2"/>
      <c r="W2379" s="12"/>
      <c r="X2379" s="2"/>
      <c r="Y2379" s="2"/>
      <c r="Z2379" s="2"/>
      <c r="AA2379" s="2"/>
    </row>
    <row r="2380" spans="1:27" s="1" customFormat="1">
      <c r="A2380"/>
      <c r="B2380"/>
      <c r="C2380"/>
      <c r="D2380"/>
      <c r="E2380"/>
      <c r="F2380"/>
      <c r="G2380"/>
      <c r="H2380"/>
      <c r="I2380"/>
      <c r="J2380" s="3"/>
      <c r="K2380" s="2"/>
      <c r="L2380" s="14"/>
      <c r="M2380" s="14"/>
      <c r="N2380" s="14"/>
      <c r="O2380" s="12"/>
      <c r="P2380" s="12"/>
      <c r="Q2380" s="12"/>
      <c r="R2380" s="14"/>
      <c r="S2380" s="14"/>
      <c r="T2380" s="12"/>
      <c r="U2380" s="2"/>
      <c r="V2380" s="12"/>
      <c r="W2380" s="2"/>
      <c r="X2380" s="2"/>
      <c r="Y2380" s="2"/>
      <c r="Z2380" s="2"/>
      <c r="AA2380" s="2"/>
    </row>
    <row r="2381" spans="1:27" s="1" customFormat="1">
      <c r="A2381"/>
      <c r="B2381"/>
      <c r="C2381"/>
      <c r="D2381"/>
      <c r="E2381"/>
      <c r="F2381"/>
      <c r="G2381"/>
      <c r="H2381"/>
      <c r="I2381"/>
      <c r="J2381" s="3"/>
      <c r="K2381" s="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3"/>
      <c r="V2381" s="13"/>
      <c r="W2381" s="12"/>
      <c r="X2381" s="2"/>
      <c r="Y2381" s="2"/>
      <c r="Z2381" s="2"/>
      <c r="AA2381" s="2"/>
    </row>
    <row r="2382" spans="1:27" s="1" customFormat="1">
      <c r="A2382"/>
      <c r="B2382"/>
      <c r="C2382"/>
      <c r="D2382"/>
      <c r="E2382"/>
      <c r="F2382"/>
      <c r="G2382"/>
      <c r="H2382"/>
      <c r="I2382"/>
      <c r="J2382" s="3"/>
      <c r="K2382" s="2"/>
      <c r="L2382" s="10"/>
      <c r="M2382" s="10"/>
      <c r="N2382" s="9"/>
      <c r="O2382" s="6"/>
      <c r="P2382" s="8"/>
      <c r="Q2382" s="6"/>
      <c r="R2382" s="8"/>
      <c r="S2382" s="6"/>
      <c r="T2382" s="8"/>
      <c r="U2382" s="7"/>
      <c r="V2382" s="7"/>
      <c r="W2382" s="6"/>
      <c r="X2382" s="2"/>
      <c r="Y2382" s="2"/>
      <c r="Z2382" s="2"/>
      <c r="AA2382" s="2"/>
    </row>
    <row r="2383" spans="1:27" s="1" customFormat="1">
      <c r="A2383"/>
      <c r="B2383"/>
      <c r="C2383"/>
      <c r="D2383"/>
      <c r="E2383"/>
      <c r="F2383"/>
      <c r="G2383"/>
      <c r="H2383"/>
      <c r="I2383"/>
      <c r="J2383" s="3"/>
      <c r="K2383" s="11"/>
      <c r="L2383" s="10"/>
      <c r="M2383" s="10"/>
      <c r="N2383" s="9"/>
      <c r="O2383" s="6"/>
      <c r="P2383" s="8"/>
      <c r="Q2383" s="6"/>
      <c r="R2383" s="8"/>
      <c r="S2383" s="6"/>
      <c r="T2383" s="8"/>
      <c r="U2383" s="7"/>
      <c r="V2383" s="7"/>
      <c r="W2383" s="6"/>
      <c r="X2383" s="2"/>
      <c r="Y2383" s="2"/>
      <c r="Z2383" s="2"/>
      <c r="AA2383" s="2"/>
    </row>
    <row r="2384" spans="1:27" s="1" customFormat="1">
      <c r="A2384"/>
      <c r="B2384"/>
      <c r="C2384"/>
      <c r="D2384"/>
      <c r="E2384"/>
      <c r="F2384"/>
      <c r="G2384"/>
      <c r="H2384"/>
      <c r="I2384"/>
      <c r="J2384" s="3"/>
      <c r="K2384" s="2"/>
      <c r="L2384" s="10"/>
      <c r="M2384" s="10"/>
      <c r="N2384" s="9"/>
      <c r="O2384" s="6"/>
      <c r="P2384" s="8"/>
      <c r="Q2384" s="6"/>
      <c r="R2384" s="8"/>
      <c r="S2384" s="6"/>
      <c r="T2384" s="8"/>
      <c r="U2384" s="7"/>
      <c r="V2384" s="7"/>
      <c r="W2384" s="6"/>
      <c r="X2384" s="2"/>
      <c r="Y2384" s="2"/>
      <c r="Z2384" s="2"/>
      <c r="AA2384" s="2"/>
    </row>
    <row r="2385" spans="1:27" s="1" customFormat="1">
      <c r="A2385"/>
      <c r="B2385"/>
      <c r="C2385"/>
      <c r="D2385"/>
      <c r="E2385"/>
      <c r="F2385"/>
      <c r="G2385"/>
      <c r="H2385"/>
      <c r="I2385"/>
      <c r="J2385" s="3"/>
      <c r="K2385" s="2"/>
      <c r="L2385" s="10"/>
      <c r="M2385" s="10"/>
      <c r="N2385" s="9"/>
      <c r="O2385" s="6"/>
      <c r="P2385" s="8"/>
      <c r="Q2385" s="6"/>
      <c r="R2385" s="8"/>
      <c r="S2385" s="6"/>
      <c r="T2385" s="8"/>
      <c r="U2385" s="7"/>
      <c r="V2385" s="7"/>
      <c r="W2385" s="6"/>
      <c r="X2385" s="2"/>
      <c r="Y2385" s="2"/>
      <c r="Z2385" s="2"/>
      <c r="AA2385" s="2"/>
    </row>
    <row r="2386" spans="1:27" s="1" customFormat="1">
      <c r="A2386"/>
      <c r="B2386"/>
      <c r="C2386"/>
      <c r="D2386"/>
      <c r="E2386"/>
      <c r="F2386"/>
      <c r="G2386"/>
      <c r="H2386"/>
      <c r="I2386"/>
      <c r="J2386" s="3"/>
      <c r="K2386" s="2"/>
      <c r="L2386" s="2"/>
      <c r="M2386" s="2"/>
      <c r="N2386" s="2"/>
      <c r="O2386" s="6"/>
      <c r="P2386" s="8"/>
      <c r="Q2386" s="6"/>
      <c r="R2386" s="8"/>
      <c r="S2386" s="6"/>
      <c r="T2386" s="8"/>
      <c r="U2386" s="7"/>
      <c r="V2386" s="7"/>
      <c r="W2386" s="6"/>
      <c r="X2386" s="2"/>
      <c r="Y2386" s="2"/>
      <c r="Z2386" s="2"/>
      <c r="AA2386" s="2"/>
    </row>
    <row r="2387" spans="1:27" s="1" customFormat="1">
      <c r="A2387"/>
      <c r="B2387"/>
      <c r="C2387"/>
      <c r="D2387"/>
      <c r="E2387"/>
      <c r="F2387"/>
      <c r="G2387"/>
      <c r="H2387"/>
      <c r="I2387"/>
      <c r="J2387" s="3"/>
      <c r="K2387" s="2"/>
      <c r="L2387" s="2"/>
      <c r="M2387" s="2"/>
      <c r="N2387" s="2"/>
      <c r="O2387" s="5"/>
      <c r="P2387" s="4"/>
      <c r="Q2387" s="2"/>
      <c r="R2387" s="2"/>
      <c r="S2387" s="2"/>
      <c r="T2387" s="2"/>
      <c r="U2387" s="2"/>
      <c r="V2387" s="2"/>
      <c r="W2387" s="2"/>
      <c r="X2387" s="2"/>
      <c r="Y2387" s="2"/>
      <c r="Z2387" s="2"/>
      <c r="AA2387" s="2"/>
    </row>
    <row r="2388" spans="1:27" s="1" customFormat="1">
      <c r="A2388"/>
      <c r="B2388"/>
      <c r="C2388"/>
      <c r="D2388"/>
      <c r="E2388"/>
      <c r="F2388"/>
      <c r="G2388"/>
      <c r="H2388"/>
      <c r="I2388"/>
      <c r="J2388" s="3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  <c r="X2388" s="2"/>
      <c r="Y2388" s="2"/>
      <c r="Z2388" s="2"/>
      <c r="AA2388" s="2"/>
    </row>
    <row r="2389" spans="1:27" s="1" customFormat="1">
      <c r="A2389"/>
      <c r="B2389"/>
      <c r="C2389"/>
      <c r="D2389"/>
      <c r="E2389"/>
      <c r="F2389"/>
      <c r="G2389"/>
      <c r="H2389"/>
      <c r="I2389"/>
      <c r="J2389" s="3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  <c r="X2389" s="2"/>
      <c r="Y2389" s="2"/>
      <c r="Z2389" s="2"/>
      <c r="AA2389" s="2"/>
    </row>
    <row r="2390" spans="1:27" s="1" customFormat="1">
      <c r="A2390"/>
      <c r="B2390"/>
      <c r="C2390"/>
      <c r="D2390"/>
      <c r="E2390"/>
      <c r="F2390"/>
      <c r="G2390"/>
      <c r="H2390"/>
      <c r="I2390"/>
      <c r="J2390" s="3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  <c r="X2390" s="2"/>
      <c r="Y2390" s="2"/>
      <c r="Z2390" s="2"/>
      <c r="AA2390" s="2"/>
    </row>
    <row r="2391" spans="1:27" s="1" customFormat="1">
      <c r="A2391"/>
      <c r="B2391"/>
      <c r="C2391"/>
      <c r="D2391"/>
      <c r="E2391"/>
      <c r="F2391"/>
      <c r="G2391"/>
      <c r="H2391"/>
      <c r="I2391"/>
      <c r="J2391" s="3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  <c r="X2391" s="2"/>
      <c r="Y2391" s="2"/>
      <c r="Z2391" s="2"/>
      <c r="AA2391" s="2"/>
    </row>
    <row r="2392" spans="1:27" s="1" customFormat="1">
      <c r="A2392"/>
      <c r="B2392"/>
      <c r="C2392"/>
      <c r="D2392"/>
      <c r="E2392"/>
      <c r="F2392"/>
      <c r="G2392"/>
      <c r="H2392"/>
      <c r="I2392"/>
      <c r="J2392" s="3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  <c r="X2392" s="2"/>
      <c r="Y2392" s="2"/>
      <c r="Z2392" s="2"/>
      <c r="AA2392" s="2"/>
    </row>
    <row r="2393" spans="1:27" s="1" customFormat="1">
      <c r="A2393"/>
      <c r="B2393"/>
      <c r="C2393"/>
      <c r="D2393"/>
      <c r="E2393"/>
      <c r="F2393"/>
      <c r="G2393"/>
      <c r="H2393"/>
      <c r="I2393"/>
      <c r="J2393" s="3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  <c r="X2393" s="2"/>
      <c r="Y2393" s="2"/>
      <c r="Z2393" s="2"/>
      <c r="AA2393" s="2"/>
    </row>
    <row r="2394" spans="1:27" s="1" customFormat="1">
      <c r="A2394"/>
      <c r="B2394"/>
      <c r="C2394"/>
      <c r="D2394"/>
      <c r="E2394"/>
      <c r="F2394"/>
      <c r="G2394"/>
      <c r="H2394"/>
      <c r="I2394"/>
      <c r="J2394" s="3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  <c r="X2394" s="2"/>
      <c r="Y2394" s="2"/>
      <c r="Z2394" s="2"/>
      <c r="AA2394" s="2"/>
    </row>
    <row r="2395" spans="1:27" s="1" customFormat="1">
      <c r="A2395"/>
      <c r="B2395"/>
      <c r="C2395"/>
      <c r="D2395"/>
      <c r="E2395"/>
      <c r="F2395"/>
      <c r="G2395"/>
      <c r="H2395"/>
      <c r="I2395"/>
      <c r="J2395" s="3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  <c r="X2395" s="2"/>
      <c r="Y2395" s="2"/>
      <c r="Z2395" s="2"/>
      <c r="AA2395" s="2"/>
    </row>
    <row r="2396" spans="1:27" s="1" customFormat="1">
      <c r="A2396"/>
      <c r="B2396"/>
      <c r="C2396"/>
      <c r="D2396"/>
      <c r="E2396"/>
      <c r="F2396"/>
      <c r="G2396"/>
      <c r="H2396"/>
      <c r="I2396"/>
      <c r="J2396" s="3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  <c r="X2396" s="2"/>
      <c r="Y2396" s="2"/>
      <c r="Z2396" s="2"/>
      <c r="AA2396" s="2"/>
    </row>
    <row r="2397" spans="1:27" s="1" customFormat="1">
      <c r="A2397"/>
      <c r="B2397"/>
      <c r="C2397"/>
      <c r="D2397"/>
      <c r="E2397"/>
      <c r="F2397"/>
      <c r="G2397"/>
      <c r="H2397"/>
      <c r="I2397"/>
      <c r="J2397" s="3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  <c r="X2397" s="2"/>
      <c r="Y2397" s="2"/>
      <c r="Z2397" s="2"/>
      <c r="AA2397" s="2"/>
    </row>
    <row r="2398" spans="1:27" s="1" customFormat="1">
      <c r="A2398"/>
      <c r="B2398"/>
      <c r="C2398"/>
      <c r="D2398"/>
      <c r="E2398"/>
      <c r="F2398"/>
      <c r="G2398"/>
      <c r="H2398"/>
      <c r="I2398"/>
      <c r="J2398" s="3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  <c r="X2398" s="2"/>
      <c r="Y2398" s="2"/>
      <c r="Z2398" s="2"/>
      <c r="AA2398" s="2"/>
    </row>
    <row r="2399" spans="1:27" s="1" customFormat="1">
      <c r="A2399"/>
      <c r="B2399"/>
      <c r="C2399"/>
      <c r="D2399"/>
      <c r="E2399"/>
      <c r="F2399"/>
      <c r="G2399"/>
      <c r="H2399"/>
      <c r="I2399"/>
      <c r="J2399" s="3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  <c r="X2399" s="2"/>
      <c r="Y2399" s="2"/>
      <c r="Z2399" s="2"/>
      <c r="AA2399" s="2"/>
    </row>
    <row r="2400" spans="1:27" s="1" customFormat="1">
      <c r="A2400"/>
      <c r="B2400"/>
      <c r="C2400"/>
      <c r="D2400"/>
      <c r="E2400"/>
      <c r="F2400"/>
      <c r="G2400"/>
      <c r="H2400"/>
      <c r="I2400"/>
      <c r="J2400" s="3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  <c r="X2400" s="2"/>
      <c r="Y2400" s="2"/>
      <c r="Z2400" s="2"/>
      <c r="AA2400" s="2"/>
    </row>
    <row r="2401" spans="1:27" s="1" customFormat="1">
      <c r="A2401"/>
      <c r="B2401"/>
      <c r="C2401"/>
      <c r="D2401"/>
      <c r="E2401"/>
      <c r="F2401"/>
      <c r="G2401"/>
      <c r="H2401"/>
      <c r="I2401"/>
      <c r="J2401" s="3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  <c r="X2401" s="2"/>
      <c r="Y2401" s="2"/>
      <c r="Z2401" s="2"/>
      <c r="AA2401" s="2"/>
    </row>
    <row r="2402" spans="1:27" s="1" customFormat="1">
      <c r="A2402"/>
      <c r="B2402"/>
      <c r="C2402"/>
      <c r="D2402"/>
      <c r="E2402"/>
      <c r="F2402"/>
      <c r="G2402"/>
      <c r="H2402"/>
      <c r="I2402"/>
      <c r="J2402" s="3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  <c r="X2402" s="2"/>
      <c r="Y2402" s="2"/>
      <c r="Z2402" s="2"/>
      <c r="AA2402" s="2"/>
    </row>
    <row r="2403" spans="1:27" s="1" customFormat="1">
      <c r="A2403"/>
      <c r="B2403"/>
      <c r="C2403"/>
      <c r="D2403"/>
      <c r="E2403"/>
      <c r="F2403"/>
      <c r="G2403"/>
      <c r="H2403"/>
      <c r="I2403"/>
      <c r="J2403" s="3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  <c r="X2403" s="2"/>
      <c r="Y2403" s="2"/>
      <c r="Z2403" s="2"/>
      <c r="AA2403" s="2"/>
    </row>
    <row r="2404" spans="1:27" s="1" customFormat="1">
      <c r="A2404"/>
      <c r="B2404"/>
      <c r="C2404"/>
      <c r="D2404"/>
      <c r="E2404"/>
      <c r="F2404"/>
      <c r="G2404"/>
      <c r="H2404"/>
      <c r="I2404"/>
      <c r="J2404" s="3"/>
      <c r="K2404" s="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2"/>
      <c r="W2404" s="12"/>
      <c r="X2404" s="2"/>
      <c r="Y2404" s="2"/>
      <c r="Z2404" s="2"/>
      <c r="AA2404" s="2"/>
    </row>
    <row r="2405" spans="1:27" s="1" customFormat="1">
      <c r="A2405"/>
      <c r="B2405"/>
      <c r="C2405"/>
      <c r="D2405"/>
      <c r="E2405"/>
      <c r="F2405"/>
      <c r="G2405"/>
      <c r="H2405"/>
      <c r="I2405"/>
      <c r="J2405" s="3"/>
      <c r="K2405" s="2"/>
      <c r="L2405" s="14"/>
      <c r="M2405" s="14"/>
      <c r="N2405" s="14"/>
      <c r="O2405" s="12"/>
      <c r="P2405" s="12"/>
      <c r="Q2405" s="12"/>
      <c r="R2405" s="14"/>
      <c r="S2405" s="14"/>
      <c r="T2405" s="12"/>
      <c r="U2405" s="2"/>
      <c r="V2405" s="12"/>
      <c r="W2405" s="2"/>
      <c r="X2405" s="2"/>
      <c r="Y2405" s="2"/>
      <c r="Z2405" s="2"/>
      <c r="AA2405" s="2"/>
    </row>
    <row r="2406" spans="1:27" s="1" customFormat="1">
      <c r="A2406"/>
      <c r="B2406"/>
      <c r="C2406"/>
      <c r="D2406"/>
      <c r="E2406"/>
      <c r="F2406"/>
      <c r="G2406"/>
      <c r="H2406"/>
      <c r="I2406"/>
      <c r="J2406" s="3"/>
      <c r="K2406" s="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3"/>
      <c r="V2406" s="13"/>
      <c r="W2406" s="12"/>
      <c r="X2406" s="2"/>
      <c r="Y2406" s="2"/>
      <c r="Z2406" s="2"/>
      <c r="AA2406" s="2"/>
    </row>
    <row r="2407" spans="1:27" s="1" customFormat="1">
      <c r="A2407"/>
      <c r="B2407"/>
      <c r="C2407"/>
      <c r="D2407"/>
      <c r="E2407"/>
      <c r="F2407"/>
      <c r="G2407"/>
      <c r="H2407"/>
      <c r="I2407"/>
      <c r="J2407" s="3"/>
      <c r="K2407" s="2"/>
      <c r="L2407" s="10"/>
      <c r="M2407" s="10"/>
      <c r="N2407" s="9"/>
      <c r="O2407" s="6"/>
      <c r="P2407" s="8"/>
      <c r="Q2407" s="6"/>
      <c r="R2407" s="8"/>
      <c r="S2407" s="6"/>
      <c r="T2407" s="8"/>
      <c r="U2407" s="7"/>
      <c r="V2407" s="7"/>
      <c r="W2407" s="6"/>
      <c r="X2407" s="2"/>
      <c r="Y2407" s="2"/>
      <c r="Z2407" s="2"/>
      <c r="AA2407" s="2"/>
    </row>
    <row r="2408" spans="1:27" s="1" customFormat="1">
      <c r="A2408"/>
      <c r="B2408"/>
      <c r="C2408"/>
      <c r="D2408"/>
      <c r="E2408"/>
      <c r="F2408"/>
      <c r="G2408"/>
      <c r="H2408"/>
      <c r="I2408"/>
      <c r="J2408" s="3"/>
      <c r="K2408" s="11"/>
      <c r="L2408" s="10"/>
      <c r="M2408" s="10"/>
      <c r="N2408" s="9"/>
      <c r="O2408" s="6"/>
      <c r="P2408" s="8"/>
      <c r="Q2408" s="6"/>
      <c r="R2408" s="8"/>
      <c r="S2408" s="6"/>
      <c r="T2408" s="8"/>
      <c r="U2408" s="7"/>
      <c r="V2408" s="7"/>
      <c r="W2408" s="6"/>
      <c r="X2408" s="2"/>
      <c r="Y2408" s="2"/>
      <c r="Z2408" s="2"/>
      <c r="AA2408" s="2"/>
    </row>
    <row r="2409" spans="1:27" s="1" customFormat="1">
      <c r="A2409"/>
      <c r="B2409"/>
      <c r="C2409"/>
      <c r="D2409"/>
      <c r="E2409"/>
      <c r="F2409"/>
      <c r="G2409"/>
      <c r="H2409"/>
      <c r="I2409"/>
      <c r="J2409" s="3"/>
      <c r="K2409" s="2"/>
      <c r="L2409" s="10"/>
      <c r="M2409" s="10"/>
      <c r="N2409" s="9"/>
      <c r="O2409" s="6"/>
      <c r="P2409" s="8"/>
      <c r="Q2409" s="6"/>
      <c r="R2409" s="8"/>
      <c r="S2409" s="6"/>
      <c r="T2409" s="8"/>
      <c r="U2409" s="7"/>
      <c r="V2409" s="7"/>
      <c r="W2409" s="6"/>
      <c r="X2409" s="2"/>
      <c r="Y2409" s="2"/>
      <c r="Z2409" s="2"/>
      <c r="AA2409" s="2"/>
    </row>
    <row r="2410" spans="1:27" s="1" customFormat="1">
      <c r="A2410"/>
      <c r="B2410"/>
      <c r="C2410"/>
      <c r="D2410"/>
      <c r="E2410"/>
      <c r="F2410"/>
      <c r="G2410"/>
      <c r="H2410"/>
      <c r="I2410"/>
      <c r="J2410" s="3"/>
      <c r="K2410" s="2"/>
      <c r="L2410" s="10"/>
      <c r="M2410" s="10"/>
      <c r="N2410" s="9"/>
      <c r="O2410" s="6"/>
      <c r="P2410" s="8"/>
      <c r="Q2410" s="6"/>
      <c r="R2410" s="8"/>
      <c r="S2410" s="6"/>
      <c r="T2410" s="8"/>
      <c r="U2410" s="7"/>
      <c r="V2410" s="7"/>
      <c r="W2410" s="6"/>
      <c r="X2410" s="2"/>
      <c r="Y2410" s="2"/>
      <c r="Z2410" s="2"/>
      <c r="AA2410" s="2"/>
    </row>
    <row r="2411" spans="1:27" s="1" customFormat="1">
      <c r="A2411"/>
      <c r="B2411"/>
      <c r="C2411"/>
      <c r="D2411"/>
      <c r="E2411"/>
      <c r="F2411"/>
      <c r="G2411"/>
      <c r="H2411"/>
      <c r="I2411"/>
      <c r="J2411" s="3"/>
      <c r="K2411" s="2"/>
      <c r="L2411" s="2"/>
      <c r="M2411" s="2"/>
      <c r="N2411" s="2"/>
      <c r="O2411" s="6"/>
      <c r="P2411" s="8"/>
      <c r="Q2411" s="6"/>
      <c r="R2411" s="8"/>
      <c r="S2411" s="6"/>
      <c r="T2411" s="8"/>
      <c r="U2411" s="7"/>
      <c r="V2411" s="7"/>
      <c r="W2411" s="6"/>
      <c r="X2411" s="2"/>
      <c r="Y2411" s="2"/>
      <c r="Z2411" s="2"/>
      <c r="AA2411" s="2"/>
    </row>
    <row r="2412" spans="1:27" s="1" customFormat="1">
      <c r="A2412"/>
      <c r="B2412"/>
      <c r="C2412"/>
      <c r="D2412"/>
      <c r="E2412"/>
      <c r="F2412"/>
      <c r="G2412"/>
      <c r="H2412"/>
      <c r="I2412"/>
      <c r="J2412" s="3"/>
      <c r="K2412" s="2"/>
      <c r="L2412" s="2"/>
      <c r="M2412" s="2"/>
      <c r="N2412" s="2"/>
      <c r="O2412" s="5"/>
      <c r="P2412" s="4"/>
      <c r="Q2412" s="2"/>
      <c r="R2412" s="2"/>
      <c r="S2412" s="2"/>
      <c r="T2412" s="2"/>
      <c r="U2412" s="2"/>
      <c r="V2412" s="2"/>
      <c r="W2412" s="2"/>
      <c r="X2412" s="2"/>
      <c r="Y2412" s="2"/>
      <c r="Z2412" s="2"/>
      <c r="AA2412" s="2"/>
    </row>
    <row r="2413" spans="1:27" s="1" customFormat="1">
      <c r="A2413"/>
      <c r="B2413"/>
      <c r="C2413"/>
      <c r="D2413"/>
      <c r="E2413"/>
      <c r="F2413"/>
      <c r="G2413"/>
      <c r="H2413"/>
      <c r="I2413"/>
      <c r="J2413" s="3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  <c r="X2413" s="2"/>
      <c r="Y2413" s="2"/>
      <c r="Z2413" s="2"/>
      <c r="AA2413" s="2"/>
    </row>
    <row r="2414" spans="1:27" s="1" customFormat="1">
      <c r="A2414"/>
      <c r="B2414"/>
      <c r="C2414"/>
      <c r="D2414"/>
      <c r="E2414"/>
      <c r="F2414"/>
      <c r="G2414"/>
      <c r="H2414"/>
      <c r="I2414"/>
      <c r="J2414" s="3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  <c r="X2414" s="2"/>
      <c r="Y2414" s="2"/>
      <c r="Z2414" s="2"/>
      <c r="AA2414" s="2"/>
    </row>
    <row r="2415" spans="1:27" s="1" customFormat="1">
      <c r="A2415"/>
      <c r="B2415"/>
      <c r="C2415"/>
      <c r="D2415"/>
      <c r="E2415"/>
      <c r="F2415"/>
      <c r="G2415"/>
      <c r="H2415"/>
      <c r="I2415"/>
      <c r="J2415" s="3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  <c r="X2415" s="2"/>
      <c r="Y2415" s="2"/>
      <c r="Z2415" s="2"/>
      <c r="AA2415" s="2"/>
    </row>
    <row r="2416" spans="1:27" s="1" customFormat="1">
      <c r="A2416"/>
      <c r="B2416"/>
      <c r="C2416"/>
      <c r="D2416"/>
      <c r="E2416"/>
      <c r="F2416"/>
      <c r="G2416"/>
      <c r="H2416"/>
      <c r="I2416"/>
      <c r="J2416" s="3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  <c r="X2416" s="2"/>
      <c r="Y2416" s="2"/>
      <c r="Z2416" s="2"/>
      <c r="AA2416" s="2"/>
    </row>
    <row r="2417" spans="1:27" s="1" customFormat="1">
      <c r="A2417"/>
      <c r="B2417"/>
      <c r="C2417"/>
      <c r="D2417"/>
      <c r="E2417"/>
      <c r="F2417"/>
      <c r="G2417"/>
      <c r="H2417"/>
      <c r="I2417"/>
      <c r="J2417" s="3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  <c r="X2417" s="2"/>
      <c r="Y2417" s="2"/>
      <c r="Z2417" s="2"/>
      <c r="AA2417" s="2"/>
    </row>
    <row r="2418" spans="1:27" s="1" customFormat="1">
      <c r="A2418"/>
      <c r="B2418"/>
      <c r="C2418"/>
      <c r="D2418"/>
      <c r="E2418"/>
      <c r="F2418"/>
      <c r="G2418"/>
      <c r="H2418"/>
      <c r="I2418"/>
      <c r="J2418" s="3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  <c r="X2418" s="2"/>
      <c r="Y2418" s="2"/>
      <c r="Z2418" s="2"/>
      <c r="AA2418" s="2"/>
    </row>
    <row r="2419" spans="1:27" s="1" customFormat="1">
      <c r="A2419"/>
      <c r="B2419"/>
      <c r="C2419"/>
      <c r="D2419"/>
      <c r="E2419"/>
      <c r="F2419"/>
      <c r="G2419"/>
      <c r="H2419"/>
      <c r="I2419"/>
      <c r="J2419" s="3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  <c r="X2419" s="2"/>
      <c r="Y2419" s="2"/>
      <c r="Z2419" s="2"/>
      <c r="AA2419" s="2"/>
    </row>
    <row r="2420" spans="1:27" s="1" customFormat="1">
      <c r="A2420"/>
      <c r="B2420"/>
      <c r="C2420"/>
      <c r="D2420"/>
      <c r="E2420"/>
      <c r="F2420"/>
      <c r="G2420"/>
      <c r="H2420"/>
      <c r="I2420"/>
      <c r="J2420" s="3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  <c r="X2420" s="2"/>
      <c r="Y2420" s="2"/>
      <c r="Z2420" s="2"/>
      <c r="AA2420" s="2"/>
    </row>
    <row r="2421" spans="1:27" s="1" customFormat="1">
      <c r="A2421"/>
      <c r="B2421"/>
      <c r="C2421"/>
      <c r="D2421"/>
      <c r="E2421"/>
      <c r="F2421"/>
      <c r="G2421"/>
      <c r="H2421"/>
      <c r="I2421"/>
      <c r="J2421" s="3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  <c r="X2421" s="2"/>
      <c r="Y2421" s="2"/>
      <c r="Z2421" s="2"/>
      <c r="AA2421" s="2"/>
    </row>
    <row r="2422" spans="1:27" s="1" customFormat="1">
      <c r="A2422"/>
      <c r="B2422"/>
      <c r="C2422"/>
      <c r="D2422"/>
      <c r="E2422"/>
      <c r="F2422"/>
      <c r="G2422"/>
      <c r="H2422"/>
      <c r="I2422"/>
      <c r="J2422" s="3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  <c r="X2422" s="2"/>
      <c r="Y2422" s="2"/>
      <c r="Z2422" s="2"/>
      <c r="AA2422" s="2"/>
    </row>
    <row r="2423" spans="1:27" s="1" customFormat="1">
      <c r="A2423"/>
      <c r="B2423"/>
      <c r="C2423"/>
      <c r="D2423"/>
      <c r="E2423"/>
      <c r="F2423"/>
      <c r="G2423"/>
      <c r="H2423"/>
      <c r="I2423"/>
      <c r="J2423" s="3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  <c r="X2423" s="2"/>
      <c r="Y2423" s="2"/>
      <c r="Z2423" s="2"/>
      <c r="AA2423" s="2"/>
    </row>
    <row r="2424" spans="1:27" s="1" customFormat="1">
      <c r="A2424"/>
      <c r="B2424"/>
      <c r="C2424"/>
      <c r="D2424"/>
      <c r="E2424"/>
      <c r="F2424"/>
      <c r="G2424"/>
      <c r="H2424"/>
      <c r="I2424"/>
      <c r="J2424" s="3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  <c r="X2424" s="2"/>
      <c r="Y2424" s="2"/>
      <c r="Z2424" s="2"/>
      <c r="AA2424" s="2"/>
    </row>
    <row r="2425" spans="1:27" s="1" customFormat="1">
      <c r="A2425"/>
      <c r="B2425"/>
      <c r="C2425"/>
      <c r="D2425"/>
      <c r="E2425"/>
      <c r="F2425"/>
      <c r="G2425"/>
      <c r="H2425"/>
      <c r="I2425"/>
      <c r="J2425" s="3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  <c r="X2425" s="2"/>
      <c r="Y2425" s="2"/>
      <c r="Z2425" s="2"/>
      <c r="AA2425" s="2"/>
    </row>
    <row r="2426" spans="1:27" s="1" customFormat="1">
      <c r="A2426"/>
      <c r="B2426"/>
      <c r="C2426"/>
      <c r="D2426"/>
      <c r="E2426"/>
      <c r="F2426"/>
      <c r="G2426"/>
      <c r="H2426"/>
      <c r="I2426"/>
      <c r="J2426" s="3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  <c r="X2426" s="2"/>
      <c r="Y2426" s="2"/>
      <c r="Z2426" s="2"/>
      <c r="AA2426" s="2"/>
    </row>
    <row r="2427" spans="1:27" s="1" customFormat="1">
      <c r="A2427"/>
      <c r="B2427"/>
      <c r="C2427"/>
      <c r="D2427"/>
      <c r="E2427"/>
      <c r="F2427"/>
      <c r="G2427"/>
      <c r="H2427"/>
      <c r="I2427"/>
      <c r="J2427" s="3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  <c r="X2427" s="2"/>
      <c r="Y2427" s="2"/>
      <c r="Z2427" s="2"/>
      <c r="AA2427" s="2"/>
    </row>
    <row r="2428" spans="1:27" s="1" customFormat="1">
      <c r="A2428"/>
      <c r="B2428"/>
      <c r="C2428"/>
      <c r="D2428"/>
      <c r="E2428"/>
      <c r="F2428"/>
      <c r="G2428"/>
      <c r="H2428"/>
      <c r="I2428"/>
      <c r="J2428" s="3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  <c r="X2428" s="2"/>
      <c r="Y2428" s="2"/>
      <c r="Z2428" s="2"/>
      <c r="AA2428" s="2"/>
    </row>
    <row r="2429" spans="1:27" s="1" customFormat="1">
      <c r="A2429"/>
      <c r="B2429"/>
      <c r="C2429"/>
      <c r="D2429"/>
      <c r="E2429"/>
      <c r="F2429"/>
      <c r="G2429"/>
      <c r="H2429"/>
      <c r="I2429"/>
      <c r="J2429" s="3"/>
      <c r="K2429" s="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2"/>
      <c r="W2429" s="12"/>
      <c r="X2429" s="2"/>
      <c r="Y2429" s="2"/>
      <c r="Z2429" s="2"/>
      <c r="AA2429" s="2"/>
    </row>
    <row r="2430" spans="1:27" s="1" customFormat="1">
      <c r="A2430"/>
      <c r="B2430"/>
      <c r="C2430"/>
      <c r="D2430"/>
      <c r="E2430"/>
      <c r="F2430"/>
      <c r="G2430"/>
      <c r="H2430"/>
      <c r="I2430"/>
      <c r="J2430" s="3"/>
      <c r="K2430" s="2"/>
      <c r="L2430" s="14"/>
      <c r="M2430" s="14"/>
      <c r="N2430" s="14"/>
      <c r="O2430" s="12"/>
      <c r="P2430" s="12"/>
      <c r="Q2430" s="12"/>
      <c r="R2430" s="14"/>
      <c r="S2430" s="14"/>
      <c r="T2430" s="12"/>
      <c r="U2430" s="2"/>
      <c r="V2430" s="12"/>
      <c r="W2430" s="2"/>
      <c r="X2430" s="2"/>
      <c r="Y2430" s="2"/>
      <c r="Z2430" s="2"/>
      <c r="AA2430" s="2"/>
    </row>
    <row r="2431" spans="1:27" s="1" customFormat="1">
      <c r="A2431"/>
      <c r="B2431"/>
      <c r="C2431"/>
      <c r="D2431"/>
      <c r="E2431"/>
      <c r="F2431"/>
      <c r="G2431"/>
      <c r="H2431"/>
      <c r="I2431"/>
      <c r="J2431" s="3"/>
      <c r="K2431" s="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3"/>
      <c r="V2431" s="13"/>
      <c r="W2431" s="12"/>
      <c r="X2431" s="2"/>
      <c r="Y2431" s="2"/>
      <c r="Z2431" s="2"/>
      <c r="AA2431" s="2"/>
    </row>
    <row r="2432" spans="1:27" s="1" customFormat="1">
      <c r="A2432"/>
      <c r="B2432"/>
      <c r="C2432"/>
      <c r="D2432"/>
      <c r="E2432"/>
      <c r="F2432"/>
      <c r="G2432"/>
      <c r="H2432"/>
      <c r="I2432"/>
      <c r="J2432" s="3"/>
      <c r="K2432" s="2"/>
      <c r="L2432" s="10"/>
      <c r="M2432" s="10"/>
      <c r="N2432" s="9"/>
      <c r="O2432" s="6"/>
      <c r="P2432" s="8"/>
      <c r="Q2432" s="6"/>
      <c r="R2432" s="8"/>
      <c r="S2432" s="6"/>
      <c r="T2432" s="8"/>
      <c r="U2432" s="7"/>
      <c r="V2432" s="7"/>
      <c r="W2432" s="6"/>
      <c r="X2432" s="2"/>
      <c r="Y2432" s="2"/>
      <c r="Z2432" s="2"/>
      <c r="AA2432" s="2"/>
    </row>
    <row r="2433" spans="1:27" s="1" customFormat="1">
      <c r="A2433"/>
      <c r="B2433"/>
      <c r="C2433"/>
      <c r="D2433"/>
      <c r="E2433"/>
      <c r="F2433"/>
      <c r="G2433"/>
      <c r="H2433"/>
      <c r="I2433"/>
      <c r="J2433" s="3"/>
      <c r="K2433" s="11"/>
      <c r="L2433" s="10"/>
      <c r="M2433" s="10"/>
      <c r="N2433" s="9"/>
      <c r="O2433" s="6"/>
      <c r="P2433" s="8"/>
      <c r="Q2433" s="6"/>
      <c r="R2433" s="8"/>
      <c r="S2433" s="6"/>
      <c r="T2433" s="8"/>
      <c r="U2433" s="7"/>
      <c r="V2433" s="7"/>
      <c r="W2433" s="6"/>
      <c r="X2433" s="2"/>
      <c r="Y2433" s="2"/>
      <c r="Z2433" s="2"/>
      <c r="AA2433" s="2"/>
    </row>
    <row r="2434" spans="1:27" s="1" customFormat="1">
      <c r="A2434"/>
      <c r="B2434"/>
      <c r="C2434"/>
      <c r="D2434"/>
      <c r="E2434"/>
      <c r="F2434"/>
      <c r="G2434"/>
      <c r="H2434"/>
      <c r="I2434"/>
      <c r="J2434" s="3"/>
      <c r="K2434" s="2"/>
      <c r="L2434" s="10"/>
      <c r="M2434" s="10"/>
      <c r="N2434" s="9"/>
      <c r="O2434" s="6"/>
      <c r="P2434" s="8"/>
      <c r="Q2434" s="6"/>
      <c r="R2434" s="8"/>
      <c r="S2434" s="6"/>
      <c r="T2434" s="8"/>
      <c r="U2434" s="7"/>
      <c r="V2434" s="7"/>
      <c r="W2434" s="6"/>
      <c r="X2434" s="2"/>
      <c r="Y2434" s="2"/>
      <c r="Z2434" s="2"/>
      <c r="AA2434" s="2"/>
    </row>
    <row r="2435" spans="1:27" s="1" customFormat="1">
      <c r="A2435"/>
      <c r="B2435"/>
      <c r="C2435"/>
      <c r="D2435"/>
      <c r="E2435"/>
      <c r="F2435"/>
      <c r="G2435"/>
      <c r="H2435"/>
      <c r="I2435"/>
      <c r="J2435" s="3"/>
      <c r="K2435" s="2"/>
      <c r="L2435" s="10"/>
      <c r="M2435" s="10"/>
      <c r="N2435" s="9"/>
      <c r="O2435" s="6"/>
      <c r="P2435" s="8"/>
      <c r="Q2435" s="6"/>
      <c r="R2435" s="8"/>
      <c r="S2435" s="6"/>
      <c r="T2435" s="8"/>
      <c r="U2435" s="7"/>
      <c r="V2435" s="7"/>
      <c r="W2435" s="6"/>
      <c r="X2435" s="2"/>
      <c r="Y2435" s="2"/>
      <c r="Z2435" s="2"/>
      <c r="AA2435" s="2"/>
    </row>
    <row r="2436" spans="1:27" s="1" customFormat="1">
      <c r="A2436"/>
      <c r="B2436"/>
      <c r="C2436"/>
      <c r="D2436"/>
      <c r="E2436"/>
      <c r="F2436"/>
      <c r="G2436"/>
      <c r="H2436"/>
      <c r="I2436"/>
      <c r="J2436" s="3"/>
      <c r="K2436" s="2"/>
      <c r="L2436" s="2"/>
      <c r="M2436" s="2"/>
      <c r="N2436" s="2"/>
      <c r="O2436" s="6"/>
      <c r="P2436" s="8"/>
      <c r="Q2436" s="6"/>
      <c r="R2436" s="8"/>
      <c r="S2436" s="6"/>
      <c r="T2436" s="8"/>
      <c r="U2436" s="7"/>
      <c r="V2436" s="7"/>
      <c r="W2436" s="6"/>
      <c r="X2436" s="2"/>
      <c r="Y2436" s="2"/>
      <c r="Z2436" s="2"/>
      <c r="AA2436" s="2"/>
    </row>
    <row r="2437" spans="1:27" s="1" customFormat="1">
      <c r="A2437"/>
      <c r="B2437"/>
      <c r="C2437"/>
      <c r="D2437"/>
      <c r="E2437"/>
      <c r="F2437"/>
      <c r="G2437"/>
      <c r="H2437"/>
      <c r="I2437"/>
      <c r="J2437" s="3"/>
      <c r="K2437" s="2"/>
      <c r="L2437" s="2"/>
      <c r="M2437" s="2"/>
      <c r="N2437" s="2"/>
      <c r="O2437" s="5"/>
      <c r="P2437" s="4"/>
      <c r="Q2437" s="2"/>
      <c r="R2437" s="2"/>
      <c r="S2437" s="2"/>
      <c r="T2437" s="2"/>
      <c r="U2437" s="2"/>
      <c r="V2437" s="2"/>
      <c r="W2437" s="2"/>
      <c r="X2437" s="2"/>
      <c r="Y2437" s="2"/>
      <c r="Z2437" s="2"/>
      <c r="AA2437" s="2"/>
    </row>
    <row r="2438" spans="1:27" s="1" customFormat="1">
      <c r="A2438"/>
      <c r="B2438"/>
      <c r="C2438"/>
      <c r="D2438"/>
      <c r="E2438"/>
      <c r="F2438"/>
      <c r="G2438"/>
      <c r="H2438"/>
      <c r="I2438"/>
      <c r="J2438" s="3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  <c r="X2438" s="2"/>
      <c r="Y2438" s="2"/>
      <c r="Z2438" s="2"/>
      <c r="AA2438" s="2"/>
    </row>
    <row r="2439" spans="1:27" s="1" customFormat="1">
      <c r="A2439"/>
      <c r="B2439"/>
      <c r="C2439"/>
      <c r="D2439"/>
      <c r="E2439"/>
      <c r="F2439"/>
      <c r="G2439"/>
      <c r="H2439"/>
      <c r="I2439"/>
      <c r="J2439" s="3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  <c r="X2439" s="2"/>
      <c r="Y2439" s="2"/>
      <c r="Z2439" s="2"/>
      <c r="AA2439" s="2"/>
    </row>
    <row r="2440" spans="1:27" s="1" customFormat="1">
      <c r="A2440"/>
      <c r="B2440"/>
      <c r="C2440"/>
      <c r="D2440"/>
      <c r="E2440"/>
      <c r="F2440"/>
      <c r="G2440"/>
      <c r="H2440"/>
      <c r="I2440"/>
      <c r="J2440" s="3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  <c r="X2440" s="2"/>
      <c r="Y2440" s="2"/>
      <c r="Z2440" s="2"/>
      <c r="AA2440" s="2"/>
    </row>
    <row r="2441" spans="1:27" s="1" customFormat="1">
      <c r="A2441"/>
      <c r="B2441"/>
      <c r="C2441"/>
      <c r="D2441"/>
      <c r="E2441"/>
      <c r="F2441"/>
      <c r="G2441"/>
      <c r="H2441"/>
      <c r="I2441"/>
      <c r="J2441" s="3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  <c r="X2441" s="2"/>
      <c r="Y2441" s="2"/>
      <c r="Z2441" s="2"/>
      <c r="AA2441" s="2"/>
    </row>
    <row r="2442" spans="1:27" s="1" customFormat="1">
      <c r="A2442"/>
      <c r="B2442"/>
      <c r="C2442"/>
      <c r="D2442"/>
      <c r="E2442"/>
      <c r="F2442"/>
      <c r="G2442"/>
      <c r="H2442"/>
      <c r="I2442"/>
      <c r="J2442" s="3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  <c r="X2442" s="2"/>
      <c r="Y2442" s="2"/>
      <c r="Z2442" s="2"/>
      <c r="AA2442" s="2"/>
    </row>
    <row r="2443" spans="1:27" s="1" customFormat="1">
      <c r="A2443"/>
      <c r="B2443"/>
      <c r="C2443"/>
      <c r="D2443"/>
      <c r="E2443"/>
      <c r="F2443"/>
      <c r="G2443"/>
      <c r="H2443"/>
      <c r="I2443"/>
      <c r="J2443" s="3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  <c r="X2443" s="2"/>
      <c r="Y2443" s="2"/>
      <c r="Z2443" s="2"/>
      <c r="AA2443" s="2"/>
    </row>
    <row r="2444" spans="1:27" s="1" customFormat="1">
      <c r="A2444"/>
      <c r="B2444"/>
      <c r="C2444"/>
      <c r="D2444"/>
      <c r="E2444"/>
      <c r="F2444"/>
      <c r="G2444"/>
      <c r="H2444"/>
      <c r="I2444"/>
      <c r="J2444" s="3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  <c r="X2444" s="2"/>
      <c r="Y2444" s="2"/>
      <c r="Z2444" s="2"/>
      <c r="AA2444" s="2"/>
    </row>
    <row r="2445" spans="1:27" s="1" customFormat="1">
      <c r="A2445"/>
      <c r="B2445"/>
      <c r="C2445"/>
      <c r="D2445"/>
      <c r="E2445"/>
      <c r="F2445"/>
      <c r="G2445"/>
      <c r="H2445"/>
      <c r="I2445"/>
      <c r="J2445" s="3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  <c r="X2445" s="2"/>
      <c r="Y2445" s="2"/>
      <c r="Z2445" s="2"/>
      <c r="AA2445" s="2"/>
    </row>
    <row r="2446" spans="1:27" s="1" customFormat="1">
      <c r="A2446"/>
      <c r="B2446"/>
      <c r="C2446"/>
      <c r="D2446"/>
      <c r="E2446"/>
      <c r="F2446"/>
      <c r="G2446"/>
      <c r="H2446"/>
      <c r="I2446"/>
      <c r="J2446" s="3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  <c r="X2446" s="2"/>
      <c r="Y2446" s="2"/>
      <c r="Z2446" s="2"/>
      <c r="AA2446" s="2"/>
    </row>
    <row r="2447" spans="1:27" s="1" customFormat="1">
      <c r="A2447"/>
      <c r="B2447"/>
      <c r="C2447"/>
      <c r="D2447"/>
      <c r="E2447"/>
      <c r="F2447"/>
      <c r="G2447"/>
      <c r="H2447"/>
      <c r="I2447"/>
      <c r="J2447" s="3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  <c r="X2447" s="2"/>
      <c r="Y2447" s="2"/>
      <c r="Z2447" s="2"/>
      <c r="AA2447" s="2"/>
    </row>
    <row r="2448" spans="1:27" s="1" customFormat="1">
      <c r="A2448"/>
      <c r="B2448"/>
      <c r="C2448"/>
      <c r="D2448"/>
      <c r="E2448"/>
      <c r="F2448"/>
      <c r="G2448"/>
      <c r="H2448"/>
      <c r="I2448"/>
      <c r="J2448" s="3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  <c r="X2448" s="2"/>
      <c r="Y2448" s="2"/>
      <c r="Z2448" s="2"/>
      <c r="AA2448" s="2"/>
    </row>
    <row r="2449" spans="1:27" s="1" customFormat="1">
      <c r="A2449"/>
      <c r="B2449"/>
      <c r="C2449"/>
      <c r="D2449"/>
      <c r="E2449"/>
      <c r="F2449"/>
      <c r="G2449"/>
      <c r="H2449"/>
      <c r="I2449"/>
      <c r="J2449" s="3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  <c r="X2449" s="2"/>
      <c r="Y2449" s="2"/>
      <c r="Z2449" s="2"/>
      <c r="AA2449" s="2"/>
    </row>
    <row r="2450" spans="1:27" s="1" customFormat="1">
      <c r="A2450"/>
      <c r="B2450"/>
      <c r="C2450"/>
      <c r="D2450"/>
      <c r="E2450"/>
      <c r="F2450"/>
      <c r="G2450"/>
      <c r="H2450"/>
      <c r="I2450"/>
      <c r="J2450" s="3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  <c r="X2450" s="2"/>
      <c r="Y2450" s="2"/>
      <c r="Z2450" s="2"/>
      <c r="AA2450" s="2"/>
    </row>
    <row r="2451" spans="1:27" s="1" customFormat="1">
      <c r="A2451"/>
      <c r="B2451"/>
      <c r="C2451"/>
      <c r="D2451"/>
      <c r="E2451"/>
      <c r="F2451"/>
      <c r="G2451"/>
      <c r="H2451"/>
      <c r="I2451"/>
      <c r="J2451" s="3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  <c r="X2451" s="2"/>
      <c r="Y2451" s="2"/>
      <c r="Z2451" s="2"/>
      <c r="AA2451" s="2"/>
    </row>
    <row r="2452" spans="1:27" s="1" customFormat="1">
      <c r="A2452"/>
      <c r="B2452"/>
      <c r="C2452"/>
      <c r="D2452"/>
      <c r="E2452"/>
      <c r="F2452"/>
      <c r="G2452"/>
      <c r="H2452"/>
      <c r="I2452"/>
      <c r="J2452" s="3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  <c r="X2452" s="2"/>
      <c r="Y2452" s="2"/>
      <c r="Z2452" s="2"/>
      <c r="AA2452" s="2"/>
    </row>
    <row r="2453" spans="1:27" s="1" customFormat="1">
      <c r="A2453"/>
      <c r="B2453"/>
      <c r="C2453"/>
      <c r="D2453"/>
      <c r="E2453"/>
      <c r="F2453"/>
      <c r="G2453"/>
      <c r="H2453"/>
      <c r="I2453"/>
      <c r="J2453" s="3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  <c r="X2453" s="2"/>
      <c r="Y2453" s="2"/>
      <c r="Z2453" s="2"/>
      <c r="AA2453" s="2"/>
    </row>
    <row r="2454" spans="1:27" s="1" customFormat="1">
      <c r="A2454"/>
      <c r="B2454"/>
      <c r="C2454"/>
      <c r="D2454"/>
      <c r="E2454"/>
      <c r="F2454"/>
      <c r="G2454"/>
      <c r="H2454"/>
      <c r="I2454"/>
      <c r="J2454" s="3"/>
      <c r="K2454" s="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2"/>
      <c r="W2454" s="12"/>
      <c r="X2454" s="2"/>
      <c r="Y2454" s="2"/>
      <c r="Z2454" s="2"/>
      <c r="AA2454" s="2"/>
    </row>
    <row r="2455" spans="1:27" s="1" customFormat="1">
      <c r="A2455"/>
      <c r="B2455"/>
      <c r="C2455"/>
      <c r="D2455"/>
      <c r="E2455"/>
      <c r="F2455"/>
      <c r="G2455"/>
      <c r="H2455"/>
      <c r="I2455"/>
      <c r="J2455" s="3"/>
      <c r="K2455" s="2"/>
      <c r="L2455" s="14"/>
      <c r="M2455" s="14"/>
      <c r="N2455" s="14"/>
      <c r="O2455" s="12"/>
      <c r="P2455" s="12"/>
      <c r="Q2455" s="12"/>
      <c r="R2455" s="14"/>
      <c r="S2455" s="14"/>
      <c r="T2455" s="12"/>
      <c r="U2455" s="2"/>
      <c r="V2455" s="12"/>
      <c r="W2455" s="2"/>
      <c r="X2455" s="2"/>
      <c r="Y2455" s="2"/>
      <c r="Z2455" s="2"/>
      <c r="AA2455" s="2"/>
    </row>
    <row r="2456" spans="1:27" s="1" customFormat="1">
      <c r="A2456"/>
      <c r="B2456"/>
      <c r="C2456"/>
      <c r="D2456"/>
      <c r="E2456"/>
      <c r="F2456"/>
      <c r="G2456"/>
      <c r="H2456"/>
      <c r="I2456"/>
      <c r="J2456" s="3"/>
      <c r="K2456" s="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3"/>
      <c r="V2456" s="13"/>
      <c r="W2456" s="12"/>
      <c r="X2456" s="2"/>
      <c r="Y2456" s="2"/>
      <c r="Z2456" s="2"/>
      <c r="AA2456" s="2"/>
    </row>
    <row r="2457" spans="1:27" s="1" customFormat="1">
      <c r="A2457"/>
      <c r="B2457"/>
      <c r="C2457"/>
      <c r="D2457"/>
      <c r="E2457"/>
      <c r="F2457"/>
      <c r="G2457"/>
      <c r="H2457"/>
      <c r="I2457"/>
      <c r="J2457" s="3"/>
      <c r="K2457" s="2"/>
      <c r="L2457" s="10"/>
      <c r="M2457" s="10"/>
      <c r="N2457" s="9"/>
      <c r="O2457" s="6"/>
      <c r="P2457" s="8"/>
      <c r="Q2457" s="6"/>
      <c r="R2457" s="8"/>
      <c r="S2457" s="6"/>
      <c r="T2457" s="8"/>
      <c r="U2457" s="7"/>
      <c r="V2457" s="7"/>
      <c r="W2457" s="6"/>
      <c r="X2457" s="2"/>
      <c r="Y2457" s="2"/>
      <c r="Z2457" s="2"/>
      <c r="AA2457" s="2"/>
    </row>
    <row r="2458" spans="1:27" s="1" customFormat="1">
      <c r="A2458"/>
      <c r="B2458"/>
      <c r="C2458"/>
      <c r="D2458"/>
      <c r="E2458"/>
      <c r="F2458"/>
      <c r="G2458"/>
      <c r="H2458"/>
      <c r="I2458"/>
      <c r="J2458" s="3"/>
      <c r="K2458" s="11"/>
      <c r="L2458" s="10"/>
      <c r="M2458" s="10"/>
      <c r="N2458" s="9"/>
      <c r="O2458" s="6"/>
      <c r="P2458" s="8"/>
      <c r="Q2458" s="6"/>
      <c r="R2458" s="8"/>
      <c r="S2458" s="6"/>
      <c r="T2458" s="8"/>
      <c r="U2458" s="7"/>
      <c r="V2458" s="7"/>
      <c r="W2458" s="6"/>
      <c r="X2458" s="2"/>
      <c r="Y2458" s="2"/>
      <c r="Z2458" s="2"/>
      <c r="AA2458" s="2"/>
    </row>
    <row r="2459" spans="1:27" s="1" customFormat="1">
      <c r="A2459"/>
      <c r="B2459"/>
      <c r="C2459"/>
      <c r="D2459"/>
      <c r="E2459"/>
      <c r="F2459"/>
      <c r="G2459"/>
      <c r="H2459"/>
      <c r="I2459"/>
      <c r="J2459" s="3"/>
      <c r="K2459" s="2"/>
      <c r="L2459" s="10"/>
      <c r="M2459" s="10"/>
      <c r="N2459" s="9"/>
      <c r="O2459" s="6"/>
      <c r="P2459" s="8"/>
      <c r="Q2459" s="6"/>
      <c r="R2459" s="8"/>
      <c r="S2459" s="6"/>
      <c r="T2459" s="8"/>
      <c r="U2459" s="7"/>
      <c r="V2459" s="7"/>
      <c r="W2459" s="6"/>
      <c r="X2459" s="2"/>
      <c r="Y2459" s="2"/>
      <c r="Z2459" s="2"/>
      <c r="AA2459" s="2"/>
    </row>
    <row r="2460" spans="1:27" s="1" customFormat="1">
      <c r="A2460"/>
      <c r="B2460"/>
      <c r="C2460"/>
      <c r="D2460"/>
      <c r="E2460"/>
      <c r="F2460"/>
      <c r="G2460"/>
      <c r="H2460"/>
      <c r="I2460"/>
      <c r="J2460" s="3"/>
      <c r="K2460" s="2"/>
      <c r="L2460" s="10"/>
      <c r="M2460" s="10"/>
      <c r="N2460" s="9"/>
      <c r="O2460" s="6"/>
      <c r="P2460" s="8"/>
      <c r="Q2460" s="6"/>
      <c r="R2460" s="8"/>
      <c r="S2460" s="6"/>
      <c r="T2460" s="8"/>
      <c r="U2460" s="7"/>
      <c r="V2460" s="7"/>
      <c r="W2460" s="6"/>
      <c r="X2460" s="2"/>
      <c r="Y2460" s="2"/>
      <c r="Z2460" s="2"/>
      <c r="AA2460" s="2"/>
    </row>
    <row r="2461" spans="1:27" s="1" customFormat="1">
      <c r="A2461"/>
      <c r="B2461"/>
      <c r="C2461"/>
      <c r="D2461"/>
      <c r="E2461"/>
      <c r="F2461"/>
      <c r="G2461"/>
      <c r="H2461"/>
      <c r="I2461"/>
      <c r="J2461" s="3"/>
      <c r="K2461" s="2"/>
      <c r="L2461" s="2"/>
      <c r="M2461" s="2"/>
      <c r="N2461" s="2"/>
      <c r="O2461" s="6"/>
      <c r="P2461" s="8"/>
      <c r="Q2461" s="6"/>
      <c r="R2461" s="8"/>
      <c r="S2461" s="6"/>
      <c r="T2461" s="8"/>
      <c r="U2461" s="7"/>
      <c r="V2461" s="7"/>
      <c r="W2461" s="6"/>
      <c r="X2461" s="2"/>
      <c r="Y2461" s="2"/>
      <c r="Z2461" s="2"/>
      <c r="AA2461" s="2"/>
    </row>
    <row r="2462" spans="1:27" s="1" customFormat="1">
      <c r="A2462"/>
      <c r="B2462"/>
      <c r="C2462"/>
      <c r="D2462"/>
      <c r="E2462"/>
      <c r="F2462"/>
      <c r="G2462"/>
      <c r="H2462"/>
      <c r="I2462"/>
      <c r="J2462" s="3"/>
      <c r="K2462" s="2"/>
      <c r="L2462" s="2"/>
      <c r="M2462" s="2"/>
      <c r="N2462" s="2"/>
      <c r="O2462" s="5"/>
      <c r="P2462" s="4"/>
      <c r="Q2462" s="2"/>
      <c r="R2462" s="2"/>
      <c r="S2462" s="2"/>
      <c r="T2462" s="2"/>
      <c r="U2462" s="2"/>
      <c r="V2462" s="2"/>
      <c r="W2462" s="2"/>
      <c r="X2462" s="2"/>
      <c r="Y2462" s="2"/>
      <c r="Z2462" s="2"/>
      <c r="AA2462" s="2"/>
    </row>
    <row r="2463" spans="1:27" s="1" customFormat="1">
      <c r="A2463"/>
      <c r="B2463"/>
      <c r="C2463"/>
      <c r="D2463"/>
      <c r="E2463"/>
      <c r="F2463"/>
      <c r="G2463"/>
      <c r="H2463"/>
      <c r="I2463"/>
      <c r="J2463" s="3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  <c r="X2463" s="2"/>
      <c r="Y2463" s="2"/>
      <c r="Z2463" s="2"/>
      <c r="AA2463" s="2"/>
    </row>
    <row r="2464" spans="1:27" s="1" customFormat="1">
      <c r="A2464"/>
      <c r="B2464"/>
      <c r="C2464"/>
      <c r="D2464"/>
      <c r="E2464"/>
      <c r="F2464"/>
      <c r="G2464"/>
      <c r="H2464"/>
      <c r="I2464"/>
      <c r="J2464" s="3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  <c r="X2464" s="2"/>
      <c r="Y2464" s="2"/>
      <c r="Z2464" s="2"/>
      <c r="AA2464" s="2"/>
    </row>
    <row r="2465" spans="1:27" s="1" customFormat="1">
      <c r="A2465"/>
      <c r="B2465"/>
      <c r="C2465"/>
      <c r="D2465"/>
      <c r="E2465"/>
      <c r="F2465"/>
      <c r="G2465"/>
      <c r="H2465"/>
      <c r="I2465"/>
      <c r="J2465" s="3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  <c r="X2465" s="2"/>
      <c r="Y2465" s="2"/>
      <c r="Z2465" s="2"/>
      <c r="AA2465" s="2"/>
    </row>
    <row r="2466" spans="1:27" s="1" customFormat="1">
      <c r="A2466"/>
      <c r="B2466"/>
      <c r="C2466"/>
      <c r="D2466"/>
      <c r="E2466"/>
      <c r="F2466"/>
      <c r="G2466"/>
      <c r="H2466"/>
      <c r="I2466"/>
      <c r="J2466" s="3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  <c r="X2466" s="2"/>
      <c r="Y2466" s="2"/>
      <c r="Z2466" s="2"/>
      <c r="AA2466" s="2"/>
    </row>
    <row r="2467" spans="1:27" s="1" customFormat="1">
      <c r="A2467"/>
      <c r="B2467"/>
      <c r="C2467"/>
      <c r="D2467"/>
      <c r="E2467"/>
      <c r="F2467"/>
      <c r="G2467"/>
      <c r="H2467"/>
      <c r="I2467"/>
      <c r="J2467" s="3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  <c r="X2467" s="2"/>
      <c r="Y2467" s="2"/>
      <c r="Z2467" s="2"/>
      <c r="AA2467" s="2"/>
    </row>
    <row r="2468" spans="1:27" s="1" customFormat="1">
      <c r="A2468"/>
      <c r="B2468"/>
      <c r="C2468"/>
      <c r="D2468"/>
      <c r="E2468"/>
      <c r="F2468"/>
      <c r="G2468"/>
      <c r="H2468"/>
      <c r="I2468"/>
      <c r="J2468" s="3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  <c r="X2468" s="2"/>
      <c r="Y2468" s="2"/>
      <c r="Z2468" s="2"/>
      <c r="AA2468" s="2"/>
    </row>
    <row r="2469" spans="1:27" s="1" customFormat="1">
      <c r="A2469"/>
      <c r="B2469"/>
      <c r="C2469"/>
      <c r="D2469"/>
      <c r="E2469"/>
      <c r="F2469"/>
      <c r="G2469"/>
      <c r="H2469"/>
      <c r="I2469"/>
      <c r="J2469" s="3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  <c r="X2469" s="2"/>
      <c r="Y2469" s="2"/>
      <c r="Z2469" s="2"/>
      <c r="AA2469" s="2"/>
    </row>
    <row r="2470" spans="1:27" s="1" customFormat="1">
      <c r="A2470"/>
      <c r="B2470"/>
      <c r="C2470"/>
      <c r="D2470"/>
      <c r="E2470"/>
      <c r="F2470"/>
      <c r="G2470"/>
      <c r="H2470"/>
      <c r="I2470"/>
      <c r="J2470" s="3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  <c r="X2470" s="2"/>
      <c r="Y2470" s="2"/>
      <c r="Z2470" s="2"/>
      <c r="AA2470" s="2"/>
    </row>
    <row r="2471" spans="1:27" s="1" customFormat="1">
      <c r="A2471"/>
      <c r="B2471"/>
      <c r="C2471"/>
      <c r="D2471"/>
      <c r="E2471"/>
      <c r="F2471"/>
      <c r="G2471"/>
      <c r="H2471"/>
      <c r="I2471"/>
      <c r="J2471" s="3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  <c r="X2471" s="2"/>
      <c r="Y2471" s="2"/>
      <c r="Z2471" s="2"/>
      <c r="AA2471" s="2"/>
    </row>
    <row r="2472" spans="1:27" s="1" customFormat="1">
      <c r="A2472"/>
      <c r="B2472"/>
      <c r="C2472"/>
      <c r="D2472"/>
      <c r="E2472"/>
      <c r="F2472"/>
      <c r="G2472"/>
      <c r="H2472"/>
      <c r="I2472"/>
      <c r="J2472" s="3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  <c r="X2472" s="2"/>
      <c r="Y2472" s="2"/>
      <c r="Z2472" s="2"/>
      <c r="AA2472" s="2"/>
    </row>
    <row r="2473" spans="1:27" s="1" customFormat="1">
      <c r="A2473"/>
      <c r="B2473"/>
      <c r="C2473"/>
      <c r="D2473"/>
      <c r="E2473"/>
      <c r="F2473"/>
      <c r="G2473"/>
      <c r="H2473"/>
      <c r="I2473"/>
      <c r="J2473" s="3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  <c r="X2473" s="2"/>
      <c r="Y2473" s="2"/>
      <c r="Z2473" s="2"/>
      <c r="AA2473" s="2"/>
    </row>
    <row r="2474" spans="1:27" s="1" customFormat="1">
      <c r="A2474"/>
      <c r="B2474"/>
      <c r="C2474"/>
      <c r="D2474"/>
      <c r="E2474"/>
      <c r="F2474"/>
      <c r="G2474"/>
      <c r="H2474"/>
      <c r="I2474"/>
      <c r="J2474" s="3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  <c r="X2474" s="2"/>
      <c r="Y2474" s="2"/>
      <c r="Z2474" s="2"/>
      <c r="AA2474" s="2"/>
    </row>
    <row r="2475" spans="1:27" s="1" customFormat="1">
      <c r="A2475"/>
      <c r="B2475"/>
      <c r="C2475"/>
      <c r="D2475"/>
      <c r="E2475"/>
      <c r="F2475"/>
      <c r="G2475"/>
      <c r="H2475"/>
      <c r="I2475"/>
      <c r="J2475" s="3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  <c r="X2475" s="2"/>
      <c r="Y2475" s="2"/>
      <c r="Z2475" s="2"/>
      <c r="AA2475" s="2"/>
    </row>
    <row r="2476" spans="1:27" s="1" customFormat="1">
      <c r="A2476"/>
      <c r="B2476"/>
      <c r="C2476"/>
      <c r="D2476"/>
      <c r="E2476"/>
      <c r="F2476"/>
      <c r="G2476"/>
      <c r="H2476"/>
      <c r="I2476"/>
      <c r="J2476" s="3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  <c r="X2476" s="2"/>
      <c r="Y2476" s="2"/>
      <c r="Z2476" s="2"/>
      <c r="AA2476" s="2"/>
    </row>
    <row r="2477" spans="1:27" s="1" customFormat="1">
      <c r="A2477"/>
      <c r="B2477"/>
      <c r="C2477"/>
      <c r="D2477"/>
      <c r="E2477"/>
      <c r="F2477"/>
      <c r="G2477"/>
      <c r="H2477"/>
      <c r="I2477"/>
      <c r="J2477" s="3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  <c r="X2477" s="2"/>
      <c r="Y2477" s="2"/>
      <c r="Z2477" s="2"/>
      <c r="AA2477" s="2"/>
    </row>
    <row r="2478" spans="1:27" s="1" customFormat="1">
      <c r="A2478"/>
      <c r="B2478"/>
      <c r="C2478"/>
      <c r="D2478"/>
      <c r="E2478"/>
      <c r="F2478"/>
      <c r="G2478"/>
      <c r="H2478"/>
      <c r="I2478"/>
      <c r="J2478" s="3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  <c r="X2478" s="2"/>
      <c r="Y2478" s="2"/>
      <c r="Z2478" s="2"/>
      <c r="AA2478" s="2"/>
    </row>
    <row r="2479" spans="1:27" s="1" customFormat="1">
      <c r="A2479"/>
      <c r="B2479"/>
      <c r="C2479"/>
      <c r="D2479"/>
      <c r="E2479"/>
      <c r="F2479"/>
      <c r="G2479"/>
      <c r="H2479"/>
      <c r="I2479"/>
      <c r="J2479" s="3"/>
      <c r="K2479" s="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2"/>
      <c r="W2479" s="12"/>
      <c r="X2479" s="2"/>
      <c r="Y2479" s="2"/>
      <c r="Z2479" s="2"/>
      <c r="AA2479" s="2"/>
    </row>
    <row r="2480" spans="1:27" s="1" customFormat="1">
      <c r="A2480"/>
      <c r="B2480"/>
      <c r="C2480"/>
      <c r="D2480"/>
      <c r="E2480"/>
      <c r="F2480"/>
      <c r="G2480"/>
      <c r="H2480"/>
      <c r="I2480"/>
      <c r="J2480" s="3"/>
      <c r="K2480" s="2"/>
      <c r="L2480" s="14"/>
      <c r="M2480" s="14"/>
      <c r="N2480" s="14"/>
      <c r="O2480" s="12"/>
      <c r="P2480" s="12"/>
      <c r="Q2480" s="12"/>
      <c r="R2480" s="14"/>
      <c r="S2480" s="14"/>
      <c r="T2480" s="12"/>
      <c r="U2480" s="2"/>
      <c r="V2480" s="12"/>
      <c r="W2480" s="2"/>
      <c r="X2480" s="2"/>
      <c r="Y2480" s="2"/>
      <c r="Z2480" s="2"/>
      <c r="AA2480" s="2"/>
    </row>
    <row r="2481" spans="1:27" s="1" customFormat="1">
      <c r="A2481"/>
      <c r="B2481"/>
      <c r="C2481"/>
      <c r="D2481"/>
      <c r="E2481"/>
      <c r="F2481"/>
      <c r="G2481"/>
      <c r="H2481"/>
      <c r="I2481"/>
      <c r="K2481" s="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3"/>
      <c r="V2481" s="13"/>
      <c r="W2481" s="12"/>
      <c r="X2481" s="2"/>
      <c r="Y2481" s="2"/>
      <c r="Z2481" s="2"/>
      <c r="AA2481" s="2"/>
    </row>
    <row r="2482" spans="1:27" s="1" customFormat="1">
      <c r="A2482"/>
      <c r="B2482"/>
      <c r="C2482"/>
      <c r="D2482"/>
      <c r="E2482"/>
      <c r="F2482"/>
      <c r="G2482"/>
      <c r="H2482"/>
      <c r="I2482"/>
      <c r="K2482" s="2"/>
      <c r="L2482" s="10"/>
      <c r="M2482" s="10"/>
      <c r="N2482" s="9"/>
      <c r="O2482" s="6"/>
      <c r="P2482" s="8"/>
      <c r="Q2482" s="6"/>
      <c r="R2482" s="8"/>
      <c r="S2482" s="6"/>
      <c r="T2482" s="8"/>
      <c r="U2482" s="7"/>
      <c r="V2482" s="7"/>
      <c r="W2482" s="6"/>
      <c r="X2482" s="2"/>
      <c r="Y2482" s="2"/>
      <c r="Z2482" s="2"/>
      <c r="AA2482" s="2"/>
    </row>
    <row r="2483" spans="1:27" s="1" customFormat="1">
      <c r="A2483"/>
      <c r="B2483"/>
      <c r="C2483"/>
      <c r="D2483"/>
      <c r="E2483"/>
      <c r="F2483"/>
      <c r="G2483"/>
      <c r="H2483"/>
      <c r="I2483"/>
      <c r="K2483" s="11"/>
      <c r="L2483" s="10"/>
      <c r="M2483" s="10"/>
      <c r="N2483" s="9"/>
      <c r="O2483" s="6"/>
      <c r="P2483" s="8"/>
      <c r="Q2483" s="6"/>
      <c r="R2483" s="8"/>
      <c r="S2483" s="6"/>
      <c r="T2483" s="8"/>
      <c r="U2483" s="7"/>
      <c r="V2483" s="7"/>
      <c r="W2483" s="6"/>
      <c r="X2483" s="2"/>
      <c r="Y2483" s="2"/>
      <c r="Z2483" s="2"/>
      <c r="AA2483" s="2"/>
    </row>
    <row r="2484" spans="1:27" s="1" customFormat="1">
      <c r="A2484"/>
      <c r="B2484"/>
      <c r="C2484"/>
      <c r="D2484"/>
      <c r="E2484"/>
      <c r="F2484"/>
      <c r="G2484"/>
      <c r="H2484"/>
      <c r="I2484"/>
      <c r="K2484" s="2"/>
      <c r="L2484" s="10"/>
      <c r="M2484" s="10"/>
      <c r="N2484" s="9"/>
      <c r="O2484" s="6"/>
      <c r="P2484" s="8"/>
      <c r="Q2484" s="6"/>
      <c r="R2484" s="8"/>
      <c r="S2484" s="6"/>
      <c r="T2484" s="8"/>
      <c r="U2484" s="7"/>
      <c r="V2484" s="7"/>
      <c r="W2484" s="6"/>
      <c r="X2484" s="2"/>
      <c r="Y2484" s="2"/>
      <c r="Z2484" s="2"/>
      <c r="AA2484" s="2"/>
    </row>
    <row r="2485" spans="1:27" s="1" customFormat="1">
      <c r="A2485"/>
      <c r="B2485"/>
      <c r="C2485"/>
      <c r="D2485"/>
      <c r="E2485"/>
      <c r="F2485"/>
      <c r="G2485"/>
      <c r="H2485"/>
      <c r="I2485"/>
      <c r="K2485" s="2"/>
      <c r="L2485" s="10"/>
      <c r="M2485" s="10"/>
      <c r="N2485" s="9"/>
      <c r="O2485" s="6"/>
      <c r="P2485" s="8"/>
      <c r="Q2485" s="6"/>
      <c r="R2485" s="8"/>
      <c r="S2485" s="6"/>
      <c r="T2485" s="8"/>
      <c r="U2485" s="7"/>
      <c r="V2485" s="7"/>
      <c r="W2485" s="6"/>
      <c r="X2485" s="2"/>
      <c r="Y2485" s="2"/>
      <c r="Z2485" s="2"/>
      <c r="AA2485" s="2"/>
    </row>
    <row r="2486" spans="1:27" s="1" customFormat="1">
      <c r="A2486"/>
      <c r="B2486"/>
      <c r="C2486"/>
      <c r="D2486"/>
      <c r="E2486"/>
      <c r="F2486"/>
      <c r="G2486"/>
      <c r="H2486"/>
      <c r="I2486"/>
      <c r="K2486" s="2"/>
      <c r="L2486" s="2"/>
      <c r="M2486" s="2"/>
      <c r="N2486" s="2"/>
      <c r="O2486" s="6"/>
      <c r="P2486" s="8"/>
      <c r="Q2486" s="6"/>
      <c r="R2486" s="8"/>
      <c r="S2486" s="6"/>
      <c r="T2486" s="8"/>
      <c r="U2486" s="7"/>
      <c r="V2486" s="7"/>
      <c r="W2486" s="6"/>
      <c r="X2486" s="2"/>
      <c r="Y2486" s="2"/>
      <c r="Z2486" s="2"/>
      <c r="AA2486" s="2"/>
    </row>
    <row r="2487" spans="1:27" s="1" customFormat="1">
      <c r="A2487"/>
      <c r="B2487"/>
      <c r="C2487"/>
      <c r="D2487"/>
      <c r="E2487"/>
      <c r="F2487"/>
      <c r="G2487"/>
      <c r="H2487"/>
      <c r="I2487"/>
      <c r="K2487" s="2"/>
      <c r="L2487" s="2"/>
      <c r="M2487" s="2"/>
      <c r="N2487" s="2"/>
      <c r="O2487" s="5"/>
      <c r="P2487" s="4"/>
      <c r="Q2487" s="2"/>
      <c r="R2487" s="2"/>
      <c r="S2487" s="2"/>
      <c r="T2487" s="2"/>
      <c r="U2487" s="2"/>
      <c r="V2487" s="2"/>
      <c r="W2487" s="2"/>
      <c r="X2487" s="2"/>
      <c r="Y2487" s="2"/>
      <c r="Z2487" s="2"/>
      <c r="AA2487" s="2"/>
    </row>
    <row r="2488" spans="1:27" s="1" customFormat="1">
      <c r="A2488"/>
      <c r="B2488"/>
      <c r="C2488"/>
      <c r="D2488"/>
      <c r="E2488"/>
      <c r="F2488"/>
      <c r="G2488"/>
      <c r="H2488"/>
      <c r="I2488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  <c r="X2488" s="2"/>
      <c r="Y2488" s="2"/>
      <c r="Z2488" s="2"/>
      <c r="AA2488" s="2"/>
    </row>
    <row r="2489" spans="1:27" s="1" customFormat="1">
      <c r="A2489"/>
      <c r="B2489"/>
      <c r="C2489"/>
      <c r="D2489"/>
      <c r="E2489"/>
      <c r="F2489"/>
      <c r="G2489"/>
      <c r="H2489"/>
      <c r="I2489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  <c r="X2489" s="2"/>
      <c r="Y2489" s="2"/>
      <c r="Z2489" s="2"/>
      <c r="AA2489" s="2"/>
    </row>
    <row r="2490" spans="1:27" s="1" customFormat="1">
      <c r="A2490"/>
      <c r="B2490"/>
      <c r="C2490"/>
      <c r="D2490"/>
      <c r="E2490"/>
      <c r="F2490"/>
      <c r="G2490"/>
      <c r="H2490"/>
      <c r="I2490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  <c r="X2490" s="2"/>
      <c r="Y2490" s="2"/>
      <c r="Z2490" s="2"/>
      <c r="AA2490" s="2"/>
    </row>
    <row r="2491" spans="1:27" s="1" customFormat="1">
      <c r="A2491"/>
      <c r="B2491"/>
      <c r="C2491"/>
      <c r="D2491"/>
      <c r="E2491"/>
      <c r="F2491"/>
      <c r="G2491"/>
      <c r="H2491"/>
      <c r="I2491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  <c r="X2491" s="2"/>
      <c r="Y2491" s="2"/>
      <c r="Z2491" s="2"/>
      <c r="AA2491" s="2"/>
    </row>
    <row r="2492" spans="1:27" s="1" customFormat="1">
      <c r="A2492"/>
      <c r="B2492"/>
      <c r="C2492"/>
      <c r="D2492"/>
      <c r="E2492"/>
      <c r="F2492"/>
      <c r="G2492"/>
      <c r="H2492"/>
      <c r="I249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  <c r="X2492" s="2"/>
      <c r="Y2492" s="2"/>
      <c r="Z2492" s="2"/>
      <c r="AA2492" s="2"/>
    </row>
    <row r="2493" spans="1:27" s="1" customFormat="1">
      <c r="A2493"/>
      <c r="B2493"/>
      <c r="C2493"/>
      <c r="D2493"/>
      <c r="E2493"/>
      <c r="F2493"/>
      <c r="G2493"/>
      <c r="H2493"/>
      <c r="I2493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  <c r="X2493" s="2"/>
      <c r="Y2493" s="2"/>
      <c r="Z2493" s="2"/>
      <c r="AA2493" s="2"/>
    </row>
    <row r="2494" spans="1:27" s="1" customFormat="1">
      <c r="A2494"/>
      <c r="B2494"/>
      <c r="C2494"/>
      <c r="D2494"/>
      <c r="E2494"/>
      <c r="F2494"/>
      <c r="G2494"/>
      <c r="H2494"/>
      <c r="I2494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  <c r="X2494" s="2"/>
      <c r="Y2494" s="2"/>
      <c r="Z2494" s="2"/>
      <c r="AA2494" s="2"/>
    </row>
    <row r="2495" spans="1:27" s="1" customFormat="1">
      <c r="A2495"/>
      <c r="B2495"/>
      <c r="C2495"/>
      <c r="D2495"/>
      <c r="E2495"/>
      <c r="F2495"/>
      <c r="G2495"/>
      <c r="H2495"/>
      <c r="I2495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  <c r="X2495" s="2"/>
      <c r="Y2495" s="2"/>
      <c r="Z2495" s="2"/>
      <c r="AA2495" s="2"/>
    </row>
    <row r="2496" spans="1:27" s="1" customFormat="1">
      <c r="A2496"/>
      <c r="B2496"/>
      <c r="C2496"/>
      <c r="D2496"/>
      <c r="E2496"/>
      <c r="F2496"/>
      <c r="G2496"/>
      <c r="H2496"/>
      <c r="I2496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  <c r="X2496" s="2"/>
      <c r="Y2496" s="2"/>
      <c r="Z2496" s="2"/>
      <c r="AA2496" s="2"/>
    </row>
    <row r="2497" spans="1:27" s="1" customFormat="1">
      <c r="A2497"/>
      <c r="B2497"/>
      <c r="C2497"/>
      <c r="D2497"/>
      <c r="E2497"/>
      <c r="F2497"/>
      <c r="G2497"/>
      <c r="H2497"/>
      <c r="I2497"/>
      <c r="J2497" s="3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  <c r="X2497" s="2"/>
      <c r="Y2497" s="2"/>
      <c r="Z2497" s="2"/>
      <c r="AA2497" s="2"/>
    </row>
    <row r="2498" spans="1:27" s="1" customFormat="1">
      <c r="A2498"/>
      <c r="B2498"/>
      <c r="C2498"/>
      <c r="D2498"/>
      <c r="E2498"/>
      <c r="F2498"/>
      <c r="G2498"/>
      <c r="H2498"/>
      <c r="I2498"/>
      <c r="J2498" s="3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  <c r="X2498" s="2"/>
      <c r="Y2498" s="2"/>
      <c r="Z2498" s="2"/>
      <c r="AA2498" s="2"/>
    </row>
    <row r="2499" spans="1:27" s="1" customFormat="1">
      <c r="A2499"/>
      <c r="B2499"/>
      <c r="C2499"/>
      <c r="D2499"/>
      <c r="E2499"/>
      <c r="F2499"/>
      <c r="G2499"/>
      <c r="H2499"/>
      <c r="I2499"/>
      <c r="J2499" s="3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  <c r="X2499" s="2"/>
      <c r="Y2499" s="2"/>
      <c r="Z2499" s="2"/>
      <c r="AA2499" s="2"/>
    </row>
    <row r="2500" spans="1:27" s="1" customFormat="1">
      <c r="A2500"/>
      <c r="B2500"/>
      <c r="C2500"/>
      <c r="D2500"/>
      <c r="E2500"/>
      <c r="F2500"/>
      <c r="G2500"/>
      <c r="H2500"/>
      <c r="I2500"/>
      <c r="J2500" s="3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  <c r="X2500" s="2"/>
      <c r="Y2500" s="2"/>
      <c r="Z2500" s="2"/>
      <c r="AA2500" s="2"/>
    </row>
    <row r="2501" spans="1:27" s="1" customFormat="1">
      <c r="A2501"/>
      <c r="B2501"/>
      <c r="C2501"/>
      <c r="D2501"/>
      <c r="E2501"/>
      <c r="F2501"/>
      <c r="G2501"/>
      <c r="H2501"/>
      <c r="I2501"/>
      <c r="J2501" s="3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  <c r="X2501" s="2"/>
      <c r="Y2501" s="2"/>
      <c r="Z2501" s="2"/>
      <c r="AA2501" s="2"/>
    </row>
    <row r="2502" spans="1:27" s="1" customFormat="1">
      <c r="A2502"/>
      <c r="B2502"/>
      <c r="C2502"/>
      <c r="D2502"/>
      <c r="E2502"/>
      <c r="F2502"/>
      <c r="G2502"/>
      <c r="H2502"/>
      <c r="I2502"/>
      <c r="J2502" s="3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  <c r="X2502" s="2"/>
      <c r="Y2502" s="2"/>
      <c r="Z2502" s="2"/>
      <c r="AA2502" s="2"/>
    </row>
    <row r="2503" spans="1:27" s="1" customFormat="1">
      <c r="A2503"/>
      <c r="B2503"/>
      <c r="C2503"/>
      <c r="D2503"/>
      <c r="E2503"/>
      <c r="F2503"/>
      <c r="G2503"/>
      <c r="H2503"/>
      <c r="I2503"/>
      <c r="J2503" s="3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  <c r="X2503" s="2"/>
      <c r="Y2503" s="2"/>
      <c r="Z2503" s="2"/>
      <c r="AA2503" s="2"/>
    </row>
    <row r="2504" spans="1:27" s="1" customFormat="1">
      <c r="A2504"/>
      <c r="B2504"/>
      <c r="C2504"/>
      <c r="D2504"/>
      <c r="E2504"/>
      <c r="F2504"/>
      <c r="G2504"/>
      <c r="H2504"/>
      <c r="I2504"/>
      <c r="J2504" s="3"/>
      <c r="K2504" s="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2"/>
      <c r="W2504" s="12"/>
      <c r="X2504" s="2"/>
      <c r="Y2504" s="2"/>
      <c r="Z2504" s="2"/>
      <c r="AA2504" s="2"/>
    </row>
    <row r="2505" spans="1:27" s="1" customFormat="1">
      <c r="A2505"/>
      <c r="B2505"/>
      <c r="C2505"/>
      <c r="D2505"/>
      <c r="E2505"/>
      <c r="F2505"/>
      <c r="G2505"/>
      <c r="H2505"/>
      <c r="I2505"/>
      <c r="J2505" s="3"/>
      <c r="K2505" s="2"/>
      <c r="L2505" s="14"/>
      <c r="M2505" s="14"/>
      <c r="N2505" s="14"/>
      <c r="O2505" s="12"/>
      <c r="P2505" s="12"/>
      <c r="Q2505" s="12"/>
      <c r="R2505" s="14"/>
      <c r="S2505" s="14"/>
      <c r="T2505" s="12"/>
      <c r="U2505" s="2"/>
      <c r="V2505" s="12"/>
      <c r="W2505" s="2"/>
      <c r="X2505" s="2"/>
      <c r="Y2505" s="2"/>
      <c r="Z2505" s="2"/>
      <c r="AA2505" s="2"/>
    </row>
    <row r="2506" spans="1:27" s="1" customFormat="1">
      <c r="A2506"/>
      <c r="B2506"/>
      <c r="C2506"/>
      <c r="D2506"/>
      <c r="E2506"/>
      <c r="F2506"/>
      <c r="G2506"/>
      <c r="H2506"/>
      <c r="I2506"/>
      <c r="J2506" s="3"/>
      <c r="K2506" s="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3"/>
      <c r="V2506" s="13"/>
      <c r="W2506" s="12"/>
      <c r="X2506" s="2"/>
      <c r="Y2506" s="2"/>
      <c r="Z2506" s="2"/>
      <c r="AA2506" s="2"/>
    </row>
    <row r="2507" spans="1:27" s="1" customFormat="1">
      <c r="A2507"/>
      <c r="B2507"/>
      <c r="C2507"/>
      <c r="D2507"/>
      <c r="E2507"/>
      <c r="F2507"/>
      <c r="G2507"/>
      <c r="H2507"/>
      <c r="I2507"/>
      <c r="J2507" s="3"/>
      <c r="K2507" s="2"/>
      <c r="L2507" s="10"/>
      <c r="M2507" s="10"/>
      <c r="N2507" s="9"/>
      <c r="O2507" s="6"/>
      <c r="P2507" s="8"/>
      <c r="Q2507" s="6"/>
      <c r="R2507" s="8"/>
      <c r="S2507" s="6"/>
      <c r="T2507" s="8"/>
      <c r="U2507" s="7"/>
      <c r="V2507" s="7"/>
      <c r="W2507" s="6"/>
      <c r="X2507" s="2"/>
      <c r="Y2507" s="2"/>
      <c r="Z2507" s="2"/>
      <c r="AA2507" s="2"/>
    </row>
    <row r="2508" spans="1:27" s="1" customFormat="1">
      <c r="A2508"/>
      <c r="B2508"/>
      <c r="C2508"/>
      <c r="D2508"/>
      <c r="E2508"/>
      <c r="F2508"/>
      <c r="G2508"/>
      <c r="H2508"/>
      <c r="I2508"/>
      <c r="J2508" s="3"/>
      <c r="K2508" s="11"/>
      <c r="L2508" s="10"/>
      <c r="M2508" s="10"/>
      <c r="N2508" s="9"/>
      <c r="O2508" s="6"/>
      <c r="P2508" s="8"/>
      <c r="Q2508" s="6"/>
      <c r="R2508" s="8"/>
      <c r="S2508" s="6"/>
      <c r="T2508" s="8"/>
      <c r="U2508" s="7"/>
      <c r="V2508" s="7"/>
      <c r="W2508" s="6"/>
      <c r="X2508" s="2"/>
      <c r="Y2508" s="2"/>
      <c r="Z2508" s="2"/>
      <c r="AA2508" s="2"/>
    </row>
    <row r="2509" spans="1:27" s="1" customFormat="1">
      <c r="A2509"/>
      <c r="B2509"/>
      <c r="C2509"/>
      <c r="D2509"/>
      <c r="E2509"/>
      <c r="F2509"/>
      <c r="G2509"/>
      <c r="H2509"/>
      <c r="I2509"/>
      <c r="J2509" s="3"/>
      <c r="K2509" s="2"/>
      <c r="L2509" s="10"/>
      <c r="M2509" s="10"/>
      <c r="N2509" s="9"/>
      <c r="O2509" s="6"/>
      <c r="P2509" s="8"/>
      <c r="Q2509" s="6"/>
      <c r="R2509" s="8"/>
      <c r="S2509" s="6"/>
      <c r="T2509" s="8"/>
      <c r="U2509" s="7"/>
      <c r="V2509" s="7"/>
      <c r="W2509" s="6"/>
      <c r="X2509" s="2"/>
      <c r="Y2509" s="2"/>
      <c r="Z2509" s="2"/>
      <c r="AA2509" s="2"/>
    </row>
    <row r="2510" spans="1:27" s="1" customFormat="1">
      <c r="A2510"/>
      <c r="B2510"/>
      <c r="C2510"/>
      <c r="D2510"/>
      <c r="E2510"/>
      <c r="F2510"/>
      <c r="G2510"/>
      <c r="H2510"/>
      <c r="I2510"/>
      <c r="J2510" s="3"/>
      <c r="K2510" s="2"/>
      <c r="L2510" s="10"/>
      <c r="M2510" s="10"/>
      <c r="N2510" s="9"/>
      <c r="O2510" s="6"/>
      <c r="P2510" s="8"/>
      <c r="Q2510" s="6"/>
      <c r="R2510" s="8"/>
      <c r="S2510" s="6"/>
      <c r="T2510" s="8"/>
      <c r="U2510" s="7"/>
      <c r="V2510" s="7"/>
      <c r="W2510" s="6"/>
      <c r="X2510" s="2"/>
      <c r="Y2510" s="2"/>
      <c r="Z2510" s="2"/>
      <c r="AA2510" s="2"/>
    </row>
    <row r="2511" spans="1:27" s="1" customFormat="1">
      <c r="A2511"/>
      <c r="B2511"/>
      <c r="C2511"/>
      <c r="D2511"/>
      <c r="E2511"/>
      <c r="F2511"/>
      <c r="G2511"/>
      <c r="H2511"/>
      <c r="I2511"/>
      <c r="J2511" s="3"/>
      <c r="K2511" s="2"/>
      <c r="L2511" s="2"/>
      <c r="M2511" s="2"/>
      <c r="N2511" s="2"/>
      <c r="O2511" s="6"/>
      <c r="P2511" s="8"/>
      <c r="Q2511" s="6"/>
      <c r="R2511" s="8"/>
      <c r="S2511" s="6"/>
      <c r="T2511" s="8"/>
      <c r="U2511" s="7"/>
      <c r="V2511" s="7"/>
      <c r="W2511" s="6"/>
      <c r="X2511" s="2"/>
      <c r="Y2511" s="2"/>
      <c r="Z2511" s="2"/>
      <c r="AA2511" s="2"/>
    </row>
    <row r="2512" spans="1:27" s="1" customFormat="1">
      <c r="A2512"/>
      <c r="B2512"/>
      <c r="C2512"/>
      <c r="D2512"/>
      <c r="E2512"/>
      <c r="F2512"/>
      <c r="G2512"/>
      <c r="H2512"/>
      <c r="I2512"/>
      <c r="J2512" s="3"/>
      <c r="K2512" s="2"/>
      <c r="L2512" s="2"/>
      <c r="M2512" s="2"/>
      <c r="N2512" s="2"/>
      <c r="O2512" s="5"/>
      <c r="P2512" s="4"/>
      <c r="Q2512" s="2"/>
      <c r="R2512" s="2"/>
      <c r="S2512" s="2"/>
      <c r="T2512" s="2"/>
      <c r="U2512" s="2"/>
      <c r="V2512" s="2"/>
      <c r="W2512" s="2"/>
      <c r="X2512" s="2"/>
      <c r="Y2512" s="2"/>
      <c r="Z2512" s="2"/>
      <c r="AA2512" s="2"/>
    </row>
    <row r="2513" spans="1:27" s="1" customFormat="1">
      <c r="A2513"/>
      <c r="B2513"/>
      <c r="C2513"/>
      <c r="D2513"/>
      <c r="E2513"/>
      <c r="F2513"/>
      <c r="G2513"/>
      <c r="H2513"/>
      <c r="I2513"/>
      <c r="J2513" s="3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  <c r="X2513" s="2"/>
      <c r="Y2513" s="2"/>
      <c r="Z2513" s="2"/>
      <c r="AA2513" s="2"/>
    </row>
    <row r="2514" spans="1:27" s="1" customFormat="1">
      <c r="A2514"/>
      <c r="B2514"/>
      <c r="C2514"/>
      <c r="D2514"/>
      <c r="E2514"/>
      <c r="F2514"/>
      <c r="G2514"/>
      <c r="H2514"/>
      <c r="I2514"/>
      <c r="J2514" s="3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  <c r="X2514" s="2"/>
      <c r="Y2514" s="2"/>
      <c r="Z2514" s="2"/>
      <c r="AA2514" s="2"/>
    </row>
    <row r="2515" spans="1:27" s="1" customFormat="1">
      <c r="A2515"/>
      <c r="B2515"/>
      <c r="C2515"/>
      <c r="D2515"/>
      <c r="E2515"/>
      <c r="F2515"/>
      <c r="G2515"/>
      <c r="H2515"/>
      <c r="I2515"/>
      <c r="J2515" s="3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  <c r="X2515" s="2"/>
      <c r="Y2515" s="2"/>
      <c r="Z2515" s="2"/>
      <c r="AA2515" s="2"/>
    </row>
    <row r="2516" spans="1:27" s="1" customFormat="1">
      <c r="A2516"/>
      <c r="B2516"/>
      <c r="C2516"/>
      <c r="D2516"/>
      <c r="E2516"/>
      <c r="F2516"/>
      <c r="G2516"/>
      <c r="H2516"/>
      <c r="I2516"/>
      <c r="J2516" s="3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  <c r="X2516" s="2"/>
      <c r="Y2516" s="2"/>
      <c r="Z2516" s="2"/>
      <c r="AA2516" s="2"/>
    </row>
    <row r="2517" spans="1:27" s="1" customFormat="1">
      <c r="A2517"/>
      <c r="B2517"/>
      <c r="C2517"/>
      <c r="D2517"/>
      <c r="E2517"/>
      <c r="F2517"/>
      <c r="G2517"/>
      <c r="H2517"/>
      <c r="I2517"/>
      <c r="J2517" s="3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  <c r="X2517" s="2"/>
      <c r="Y2517" s="2"/>
      <c r="Z2517" s="2"/>
      <c r="AA2517" s="2"/>
    </row>
    <row r="2518" spans="1:27" s="1" customFormat="1">
      <c r="A2518"/>
      <c r="B2518"/>
      <c r="C2518"/>
      <c r="D2518"/>
      <c r="E2518"/>
      <c r="F2518"/>
      <c r="G2518"/>
      <c r="H2518"/>
      <c r="I2518"/>
      <c r="J2518" s="3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  <c r="X2518" s="2"/>
      <c r="Y2518" s="2"/>
      <c r="Z2518" s="2"/>
      <c r="AA2518" s="2"/>
    </row>
    <row r="2519" spans="1:27" s="1" customFormat="1">
      <c r="A2519"/>
      <c r="B2519"/>
      <c r="C2519"/>
      <c r="D2519"/>
      <c r="E2519"/>
      <c r="F2519"/>
      <c r="G2519"/>
      <c r="H2519"/>
      <c r="I2519"/>
      <c r="J2519" s="3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  <c r="X2519" s="2"/>
      <c r="Y2519" s="2"/>
      <c r="Z2519" s="2"/>
      <c r="AA2519" s="2"/>
    </row>
    <row r="2520" spans="1:27" s="1" customFormat="1">
      <c r="A2520"/>
      <c r="B2520"/>
      <c r="C2520"/>
      <c r="D2520"/>
      <c r="E2520"/>
      <c r="F2520"/>
      <c r="G2520"/>
      <c r="H2520"/>
      <c r="I2520"/>
      <c r="J2520" s="3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  <c r="X2520" s="2"/>
      <c r="Y2520" s="2"/>
      <c r="Z2520" s="2"/>
      <c r="AA2520" s="2"/>
    </row>
    <row r="2521" spans="1:27" s="1" customFormat="1">
      <c r="A2521"/>
      <c r="B2521"/>
      <c r="C2521"/>
      <c r="D2521"/>
      <c r="E2521"/>
      <c r="F2521"/>
      <c r="G2521"/>
      <c r="H2521"/>
      <c r="I2521"/>
      <c r="J2521" s="3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  <c r="X2521" s="2"/>
      <c r="Y2521" s="2"/>
      <c r="Z2521" s="2"/>
      <c r="AA2521" s="2"/>
    </row>
    <row r="2522" spans="1:27" s="1" customFormat="1">
      <c r="A2522"/>
      <c r="B2522"/>
      <c r="C2522"/>
      <c r="D2522"/>
      <c r="E2522"/>
      <c r="F2522"/>
      <c r="G2522"/>
      <c r="H2522"/>
      <c r="I2522"/>
      <c r="J2522" s="3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  <c r="X2522" s="2"/>
      <c r="Y2522" s="2"/>
      <c r="Z2522" s="2"/>
      <c r="AA2522" s="2"/>
    </row>
    <row r="2523" spans="1:27" s="1" customFormat="1">
      <c r="A2523"/>
      <c r="B2523"/>
      <c r="C2523"/>
      <c r="D2523"/>
      <c r="E2523"/>
      <c r="F2523"/>
      <c r="G2523"/>
      <c r="H2523"/>
      <c r="I2523"/>
      <c r="J2523" s="3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  <c r="X2523" s="2"/>
      <c r="Y2523" s="2"/>
      <c r="Z2523" s="2"/>
      <c r="AA2523" s="2"/>
    </row>
    <row r="2524" spans="1:27" s="1" customFormat="1">
      <c r="A2524"/>
      <c r="B2524"/>
      <c r="C2524"/>
      <c r="D2524"/>
      <c r="E2524"/>
      <c r="F2524"/>
      <c r="G2524"/>
      <c r="H2524"/>
      <c r="I2524"/>
      <c r="J2524" s="3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  <c r="X2524" s="2"/>
      <c r="Y2524" s="2"/>
      <c r="Z2524" s="2"/>
      <c r="AA2524" s="2"/>
    </row>
    <row r="2525" spans="1:27" s="1" customFormat="1">
      <c r="A2525"/>
      <c r="B2525"/>
      <c r="C2525"/>
      <c r="D2525"/>
      <c r="E2525"/>
      <c r="F2525"/>
      <c r="G2525"/>
      <c r="H2525"/>
      <c r="I2525"/>
      <c r="J2525" s="3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  <c r="X2525" s="2"/>
      <c r="Y2525" s="2"/>
      <c r="Z2525" s="2"/>
      <c r="AA2525" s="2"/>
    </row>
    <row r="2526" spans="1:27" s="1" customFormat="1">
      <c r="A2526"/>
      <c r="B2526"/>
      <c r="C2526"/>
      <c r="D2526"/>
      <c r="E2526"/>
      <c r="F2526"/>
      <c r="G2526"/>
      <c r="H2526"/>
      <c r="I2526"/>
      <c r="J2526" s="3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  <c r="X2526" s="2"/>
      <c r="Y2526" s="2"/>
      <c r="Z2526" s="2"/>
      <c r="AA2526" s="2"/>
    </row>
    <row r="2527" spans="1:27" s="1" customFormat="1">
      <c r="A2527"/>
      <c r="B2527"/>
      <c r="C2527"/>
      <c r="D2527"/>
      <c r="E2527"/>
      <c r="F2527"/>
      <c r="G2527"/>
      <c r="H2527"/>
      <c r="I2527"/>
      <c r="J2527" s="3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  <c r="X2527" s="2"/>
      <c r="Y2527" s="2"/>
      <c r="Z2527" s="2"/>
      <c r="AA2527" s="2"/>
    </row>
    <row r="2528" spans="1:27" s="1" customFormat="1">
      <c r="A2528"/>
      <c r="B2528"/>
      <c r="C2528"/>
      <c r="D2528"/>
      <c r="E2528"/>
      <c r="F2528"/>
      <c r="G2528"/>
      <c r="H2528"/>
      <c r="I2528"/>
      <c r="J2528" s="3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  <c r="X2528" s="2"/>
      <c r="Y2528" s="2"/>
      <c r="Z2528" s="2"/>
      <c r="AA2528" s="2"/>
    </row>
    <row r="2529" spans="10:33">
      <c r="J2529" s="1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2"/>
      <c r="W2529" s="12"/>
      <c r="AB2529" s="1"/>
      <c r="AC2529" s="1"/>
      <c r="AD2529" s="1"/>
      <c r="AE2529" s="1"/>
      <c r="AF2529" s="1"/>
      <c r="AG2529" s="1"/>
    </row>
    <row r="2530" spans="10:33">
      <c r="J2530" s="1"/>
      <c r="L2530" s="14"/>
      <c r="M2530" s="14"/>
      <c r="N2530" s="14"/>
      <c r="O2530" s="12"/>
      <c r="P2530" s="12"/>
      <c r="Q2530" s="12"/>
      <c r="R2530" s="14"/>
      <c r="S2530" s="14"/>
      <c r="T2530" s="12"/>
      <c r="V2530" s="12"/>
      <c r="AB2530" s="1"/>
      <c r="AC2530" s="1"/>
      <c r="AD2530" s="1"/>
      <c r="AE2530" s="1"/>
      <c r="AF2530" s="1"/>
      <c r="AG2530" s="1"/>
    </row>
    <row r="2531" spans="10:33">
      <c r="J2531" s="1"/>
      <c r="L2531" s="12"/>
      <c r="M2531" s="12"/>
      <c r="N2531" s="12"/>
      <c r="O2531" s="12"/>
      <c r="P2531" s="12"/>
      <c r="Q2531" s="12"/>
      <c r="R2531" s="12"/>
      <c r="S2531" s="12"/>
      <c r="T2531" s="12"/>
      <c r="U2531" s="13"/>
      <c r="V2531" s="13"/>
      <c r="W2531" s="12"/>
      <c r="AB2531" s="1"/>
      <c r="AC2531" s="1"/>
      <c r="AD2531" s="1"/>
      <c r="AE2531" s="1"/>
      <c r="AF2531" s="1"/>
      <c r="AG2531" s="1"/>
    </row>
    <row r="2532" spans="10:33">
      <c r="J2532" s="1"/>
      <c r="L2532" s="10"/>
      <c r="M2532" s="10"/>
      <c r="N2532" s="9"/>
      <c r="O2532" s="6"/>
      <c r="P2532" s="8"/>
      <c r="Q2532" s="6"/>
      <c r="R2532" s="8"/>
      <c r="S2532" s="6"/>
      <c r="T2532" s="8"/>
      <c r="U2532" s="7"/>
      <c r="V2532" s="7"/>
      <c r="W2532" s="6"/>
      <c r="AB2532" s="1"/>
      <c r="AC2532" s="1"/>
      <c r="AD2532" s="1"/>
      <c r="AE2532" s="1"/>
      <c r="AF2532" s="1"/>
      <c r="AG2532" s="1"/>
    </row>
    <row r="2533" spans="10:33">
      <c r="J2533" s="1"/>
      <c r="K2533" s="11"/>
      <c r="L2533" s="10"/>
      <c r="M2533" s="10"/>
      <c r="N2533" s="9"/>
      <c r="O2533" s="6"/>
      <c r="P2533" s="8"/>
      <c r="Q2533" s="6"/>
      <c r="R2533" s="8"/>
      <c r="S2533" s="6"/>
      <c r="T2533" s="8"/>
      <c r="U2533" s="7"/>
      <c r="V2533" s="7"/>
      <c r="W2533" s="6"/>
      <c r="AB2533" s="1"/>
      <c r="AC2533" s="1"/>
      <c r="AD2533" s="1"/>
      <c r="AE2533" s="1"/>
      <c r="AF2533" s="1"/>
      <c r="AG2533" s="1"/>
    </row>
    <row r="2534" spans="10:33">
      <c r="J2534" s="1"/>
      <c r="L2534" s="10"/>
      <c r="M2534" s="10"/>
      <c r="N2534" s="9"/>
      <c r="O2534" s="6"/>
      <c r="P2534" s="8"/>
      <c r="Q2534" s="6"/>
      <c r="R2534" s="8"/>
      <c r="S2534" s="6"/>
      <c r="T2534" s="8"/>
      <c r="U2534" s="7"/>
      <c r="V2534" s="7"/>
      <c r="W2534" s="6"/>
      <c r="AB2534" s="1"/>
      <c r="AC2534" s="1"/>
      <c r="AD2534" s="1"/>
      <c r="AE2534" s="1"/>
      <c r="AF2534" s="1"/>
      <c r="AG2534" s="1"/>
    </row>
    <row r="2535" spans="10:33">
      <c r="J2535" s="1"/>
      <c r="L2535" s="10"/>
      <c r="M2535" s="10"/>
      <c r="N2535" s="9"/>
      <c r="O2535" s="6"/>
      <c r="P2535" s="8"/>
      <c r="Q2535" s="6"/>
      <c r="R2535" s="8"/>
      <c r="S2535" s="6"/>
      <c r="T2535" s="8"/>
      <c r="U2535" s="7"/>
      <c r="V2535" s="7"/>
      <c r="W2535" s="6"/>
      <c r="AB2535" s="1"/>
      <c r="AC2535" s="1"/>
      <c r="AD2535" s="1"/>
      <c r="AE2535" s="1"/>
      <c r="AF2535" s="1"/>
      <c r="AG2535" s="1"/>
    </row>
    <row r="2536" spans="10:33">
      <c r="J2536" s="1"/>
      <c r="O2536" s="6"/>
      <c r="P2536" s="8"/>
      <c r="Q2536" s="6"/>
      <c r="R2536" s="8"/>
      <c r="S2536" s="6"/>
      <c r="T2536" s="8"/>
      <c r="U2536" s="7"/>
      <c r="V2536" s="7"/>
      <c r="W2536" s="6"/>
      <c r="AB2536" s="1"/>
      <c r="AC2536" s="1"/>
      <c r="AD2536" s="1"/>
      <c r="AE2536" s="1"/>
      <c r="AF2536" s="1"/>
      <c r="AG2536" s="1"/>
    </row>
    <row r="2537" spans="10:33">
      <c r="J2537" s="1"/>
      <c r="O2537" s="5"/>
      <c r="P2537" s="4"/>
      <c r="AB2537" s="1"/>
      <c r="AC2537" s="1"/>
      <c r="AD2537" s="1"/>
      <c r="AE2537" s="1"/>
      <c r="AF2537" s="1"/>
      <c r="AG2537" s="1"/>
    </row>
  </sheetData>
  <phoneticPr fontId="3"/>
  <pageMargins left="0.78740157480314965" right="0.78740157480314965" top="0.98425196850393704" bottom="0.98425196850393704" header="0.51181102362204722" footer="0.51181102362204722"/>
  <pageSetup paperSize="9" scale="80" fitToHeight="2" orientation="portrait" r:id="rId1"/>
  <headerFooter alignWithMargins="0"/>
  <ignoredErrors>
    <ignoredError sqref="R59:R60 R82:R8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autoFill="0" autoPict="0" macro="[0]!keisan_kurikaesisokutei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Option Button 2">
              <controlPr defaultSize="0" autoFill="0" autoLine="0" autoPict="0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Option Button 3">
              <controlPr defaultSize="0" autoFill="0" autoLine="0" autoPict="0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Option Button 4">
              <controlPr defaultSize="0" autoFill="0" autoLine="0" autoPict="0">
                <anchor mov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pageSetUpPr fitToPage="1"/>
  </sheetPr>
  <dimension ref="A1:BF1003"/>
  <sheetViews>
    <sheetView zoomScale="90" zoomScaleNormal="90" workbookViewId="0"/>
  </sheetViews>
  <sheetFormatPr baseColWidth="10" defaultColWidth="9.33203125" defaultRowHeight="12"/>
  <cols>
    <col min="1" max="1" width="53.6640625" style="1" bestFit="1" customWidth="1"/>
    <col min="2" max="2" width="8.6640625" style="1" bestFit="1" customWidth="1"/>
    <col min="3" max="3" width="8.33203125" style="1" bestFit="1" customWidth="1"/>
    <col min="4" max="5" width="8.33203125" style="50" bestFit="1" customWidth="1"/>
    <col min="6" max="6" width="8.33203125" style="49" bestFit="1" customWidth="1"/>
    <col min="7" max="8" width="10.83203125" style="88" bestFit="1" customWidth="1"/>
    <col min="9" max="10" width="12.33203125" style="88" bestFit="1" customWidth="1"/>
    <col min="11" max="11" width="9.5" style="106" bestFit="1" customWidth="1"/>
    <col min="12" max="13" width="8.6640625" style="12" bestFit="1" customWidth="1"/>
    <col min="14" max="14" width="8.33203125" style="12" bestFit="1" customWidth="1"/>
    <col min="15" max="15" width="9.33203125" style="25"/>
    <col min="16" max="16" width="9.33203125" style="2"/>
    <col min="17" max="17" width="8.6640625" style="2" bestFit="1" customWidth="1"/>
    <col min="18" max="18" width="8.33203125" style="2" bestFit="1" customWidth="1"/>
    <col min="19" max="21" width="8.6640625" style="2" bestFit="1" customWidth="1"/>
    <col min="22" max="22" width="8.33203125" style="2" bestFit="1" customWidth="1"/>
    <col min="23" max="24" width="8.6640625" style="2" bestFit="1" customWidth="1"/>
    <col min="25" max="25" width="8.33203125" style="2" bestFit="1" customWidth="1"/>
    <col min="26" max="27" width="8.6640625" style="2" bestFit="1" customWidth="1"/>
    <col min="28" max="28" width="8.6640625" style="1" bestFit="1" customWidth="1"/>
    <col min="29" max="29" width="8.33203125" style="1" bestFit="1" customWidth="1"/>
    <col min="30" max="31" width="8.6640625" style="1" bestFit="1" customWidth="1"/>
    <col min="32" max="32" width="8.33203125" style="1" bestFit="1" customWidth="1"/>
    <col min="33" max="33" width="8.6640625" style="1" bestFit="1" customWidth="1"/>
    <col min="34" max="34" width="8.33203125" style="1" bestFit="1" customWidth="1"/>
    <col min="35" max="35" width="8.6640625" style="1" bestFit="1" customWidth="1"/>
    <col min="36" max="36" width="8.33203125" style="1" bestFit="1" customWidth="1"/>
    <col min="37" max="37" width="8.6640625" style="1" bestFit="1" customWidth="1"/>
    <col min="38" max="38" width="8.33203125" style="1" bestFit="1" customWidth="1"/>
    <col min="39" max="39" width="8.6640625" style="1" bestFit="1" customWidth="1"/>
    <col min="40" max="40" width="8.33203125" style="1" bestFit="1" customWidth="1"/>
    <col min="41" max="41" width="8.6640625" style="1" bestFit="1" customWidth="1"/>
    <col min="42" max="42" width="8.33203125" style="1" bestFit="1" customWidth="1"/>
    <col min="43" max="44" width="8.6640625" style="1" bestFit="1" customWidth="1"/>
    <col min="45" max="45" width="8.33203125" style="1" bestFit="1" customWidth="1"/>
    <col min="46" max="46" width="8.6640625" style="1" bestFit="1" customWidth="1"/>
    <col min="47" max="47" width="8.33203125" style="1" bestFit="1" customWidth="1"/>
    <col min="48" max="48" width="8.6640625" style="1" bestFit="1" customWidth="1"/>
    <col min="49" max="49" width="8.33203125" style="1" bestFit="1" customWidth="1"/>
    <col min="50" max="51" width="8.6640625" style="1" bestFit="1" customWidth="1"/>
    <col min="52" max="52" width="8.33203125" style="1" bestFit="1" customWidth="1"/>
    <col min="53" max="53" width="8.6640625" style="1" bestFit="1" customWidth="1"/>
    <col min="54" max="54" width="8.33203125" style="1" bestFit="1" customWidth="1"/>
    <col min="55" max="55" width="8.6640625" style="1" bestFit="1" customWidth="1"/>
    <col min="56" max="56" width="8.33203125" style="1" bestFit="1" customWidth="1"/>
    <col min="57" max="57" width="8.6640625" style="1" bestFit="1" customWidth="1"/>
    <col min="58" max="58" width="8.33203125" style="1" bestFit="1" customWidth="1"/>
    <col min="59" max="59" width="8.6640625" style="1" bestFit="1" customWidth="1"/>
    <col min="60" max="60" width="8.33203125" style="1" bestFit="1" customWidth="1"/>
    <col min="61" max="61" width="8.6640625" style="1" bestFit="1" customWidth="1"/>
    <col min="62" max="62" width="8.33203125" style="1" bestFit="1" customWidth="1"/>
    <col min="63" max="64" width="8.6640625" style="1" bestFit="1" customWidth="1"/>
    <col min="65" max="65" width="8.33203125" style="1" bestFit="1" customWidth="1"/>
    <col min="66" max="66" width="8.6640625" style="1" bestFit="1" customWidth="1"/>
    <col min="67" max="67" width="8.33203125" style="1" bestFit="1" customWidth="1"/>
    <col min="68" max="68" width="8.6640625" style="1" bestFit="1" customWidth="1"/>
    <col min="69" max="69" width="8.33203125" style="1" bestFit="1" customWidth="1"/>
    <col min="70" max="71" width="8.6640625" style="1" bestFit="1" customWidth="1"/>
    <col min="72" max="72" width="8.33203125" style="1" bestFit="1" customWidth="1"/>
    <col min="73" max="73" width="8.6640625" style="1" bestFit="1" customWidth="1"/>
    <col min="74" max="74" width="8.33203125" style="1" bestFit="1" customWidth="1"/>
    <col min="75" max="75" width="8.6640625" style="1" bestFit="1" customWidth="1"/>
    <col min="76" max="76" width="8.33203125" style="1" bestFit="1" customWidth="1"/>
    <col min="77" max="77" width="8.6640625" style="1" bestFit="1" customWidth="1"/>
    <col min="78" max="78" width="8.33203125" style="1" bestFit="1" customWidth="1"/>
    <col min="79" max="79" width="8.6640625" style="1" bestFit="1" customWidth="1"/>
    <col min="80" max="80" width="8.33203125" style="1" bestFit="1" customWidth="1"/>
    <col min="81" max="81" width="8.6640625" style="1" bestFit="1" customWidth="1"/>
    <col min="82" max="82" width="8.33203125" style="1" bestFit="1" customWidth="1"/>
    <col min="83" max="84" width="8.6640625" style="1" bestFit="1" customWidth="1"/>
    <col min="85" max="85" width="8.33203125" style="1" bestFit="1" customWidth="1"/>
    <col min="86" max="86" width="8.6640625" style="1" bestFit="1" customWidth="1"/>
    <col min="87" max="87" width="8.33203125" style="1" bestFit="1" customWidth="1"/>
    <col min="88" max="88" width="8.6640625" style="1" bestFit="1" customWidth="1"/>
    <col min="89" max="89" width="8.33203125" style="1" bestFit="1" customWidth="1"/>
    <col min="90" max="91" width="8.6640625" style="1" bestFit="1" customWidth="1"/>
    <col min="92" max="92" width="8.33203125" style="1" bestFit="1" customWidth="1"/>
    <col min="93" max="93" width="8.6640625" style="1" bestFit="1" customWidth="1"/>
    <col min="94" max="94" width="8.33203125" style="1" bestFit="1" customWidth="1"/>
    <col min="95" max="95" width="8.6640625" style="1" bestFit="1" customWidth="1"/>
    <col min="96" max="96" width="8.33203125" style="1" bestFit="1" customWidth="1"/>
    <col min="97" max="97" width="8.6640625" style="1" bestFit="1" customWidth="1"/>
    <col min="98" max="98" width="8.33203125" style="1" bestFit="1" customWidth="1"/>
    <col min="99" max="99" width="8.6640625" style="1" bestFit="1" customWidth="1"/>
    <col min="100" max="100" width="8.33203125" style="1" bestFit="1" customWidth="1"/>
    <col min="101" max="101" width="8.6640625" style="1" bestFit="1" customWidth="1"/>
    <col min="102" max="102" width="8.33203125" style="1" bestFit="1" customWidth="1"/>
    <col min="103" max="104" width="8.6640625" style="1" bestFit="1" customWidth="1"/>
    <col min="105" max="105" width="8.33203125" style="1" bestFit="1" customWidth="1"/>
    <col min="106" max="106" width="8.6640625" style="1" bestFit="1" customWidth="1"/>
    <col min="107" max="107" width="8.33203125" style="1" bestFit="1" customWidth="1"/>
    <col min="108" max="108" width="8.6640625" style="1" bestFit="1" customWidth="1"/>
    <col min="109" max="109" width="8.33203125" style="1" bestFit="1" customWidth="1"/>
    <col min="110" max="111" width="8.6640625" style="1" bestFit="1" customWidth="1"/>
    <col min="112" max="112" width="8.33203125" style="1" bestFit="1" customWidth="1"/>
    <col min="113" max="113" width="8.6640625" style="1" bestFit="1" customWidth="1"/>
    <col min="114" max="114" width="8.33203125" style="1" bestFit="1" customWidth="1"/>
    <col min="115" max="115" width="8.6640625" style="1" bestFit="1" customWidth="1"/>
    <col min="116" max="116" width="8.33203125" style="1" bestFit="1" customWidth="1"/>
    <col min="117" max="117" width="8.6640625" style="1" bestFit="1" customWidth="1"/>
    <col min="118" max="118" width="8.33203125" style="1" bestFit="1" customWidth="1"/>
    <col min="119" max="119" width="8.6640625" style="1" bestFit="1" customWidth="1"/>
    <col min="120" max="120" width="8.33203125" style="1" bestFit="1" customWidth="1"/>
    <col min="121" max="121" width="8.6640625" style="1" bestFit="1" customWidth="1"/>
    <col min="122" max="122" width="8.33203125" style="1" bestFit="1" customWidth="1"/>
    <col min="123" max="124" width="8.6640625" style="1" bestFit="1" customWidth="1"/>
    <col min="125" max="125" width="8.33203125" style="1" bestFit="1" customWidth="1"/>
    <col min="126" max="126" width="8.6640625" style="1" bestFit="1" customWidth="1"/>
    <col min="127" max="127" width="8.33203125" style="1" bestFit="1" customWidth="1"/>
    <col min="128" max="128" width="8.6640625" style="1" bestFit="1" customWidth="1"/>
    <col min="129" max="129" width="8.33203125" style="1" bestFit="1" customWidth="1"/>
    <col min="130" max="131" width="8.6640625" style="1" bestFit="1" customWidth="1"/>
    <col min="132" max="132" width="8.33203125" style="1" bestFit="1" customWidth="1"/>
    <col min="133" max="133" width="8.6640625" style="1" bestFit="1" customWidth="1"/>
    <col min="134" max="134" width="8.33203125" style="1" bestFit="1" customWidth="1"/>
    <col min="135" max="135" width="8.6640625" style="1" bestFit="1" customWidth="1"/>
    <col min="136" max="136" width="8.33203125" style="1" bestFit="1" customWidth="1"/>
    <col min="137" max="137" width="8.6640625" style="1" bestFit="1" customWidth="1"/>
    <col min="138" max="138" width="8.33203125" style="1" bestFit="1" customWidth="1"/>
    <col min="139" max="139" width="8.6640625" style="1" bestFit="1" customWidth="1"/>
    <col min="140" max="140" width="8.33203125" style="1" bestFit="1" customWidth="1"/>
    <col min="141" max="141" width="8.6640625" style="1" bestFit="1" customWidth="1"/>
    <col min="142" max="142" width="8.33203125" style="1" bestFit="1" customWidth="1"/>
    <col min="143" max="144" width="8.6640625" style="1" bestFit="1" customWidth="1"/>
    <col min="145" max="145" width="8.33203125" style="1" bestFit="1" customWidth="1"/>
    <col min="146" max="146" width="8.6640625" style="1" bestFit="1" customWidth="1"/>
    <col min="147" max="147" width="8.33203125" style="1" bestFit="1" customWidth="1"/>
    <col min="148" max="148" width="8.6640625" style="1" bestFit="1" customWidth="1"/>
    <col min="149" max="149" width="8.33203125" style="1" bestFit="1" customWidth="1"/>
    <col min="150" max="151" width="8.6640625" style="1" bestFit="1" customWidth="1"/>
    <col min="152" max="152" width="8.33203125" style="1" bestFit="1" customWidth="1"/>
    <col min="153" max="153" width="8.6640625" style="1" bestFit="1" customWidth="1"/>
    <col min="154" max="154" width="8.33203125" style="1" bestFit="1" customWidth="1"/>
    <col min="155" max="155" width="8.6640625" style="1" bestFit="1" customWidth="1"/>
    <col min="156" max="156" width="8.33203125" style="1" bestFit="1" customWidth="1"/>
    <col min="157" max="157" width="8.6640625" style="1" bestFit="1" customWidth="1"/>
    <col min="158" max="158" width="8.33203125" style="1" bestFit="1" customWidth="1"/>
    <col min="159" max="159" width="8.6640625" style="1" bestFit="1" customWidth="1"/>
    <col min="160" max="160" width="8.33203125" style="1" bestFit="1" customWidth="1"/>
    <col min="161" max="161" width="8.6640625" style="1" bestFit="1" customWidth="1"/>
    <col min="162" max="162" width="8.33203125" style="1" bestFit="1" customWidth="1"/>
    <col min="163" max="164" width="8.6640625" style="1" bestFit="1" customWidth="1"/>
    <col min="165" max="165" width="8.33203125" style="1" bestFit="1" customWidth="1"/>
    <col min="166" max="166" width="8.6640625" style="1" bestFit="1" customWidth="1"/>
    <col min="167" max="167" width="8.33203125" style="1" bestFit="1" customWidth="1"/>
    <col min="168" max="168" width="8.6640625" style="1" bestFit="1" customWidth="1"/>
    <col min="169" max="169" width="8.33203125" style="1" bestFit="1" customWidth="1"/>
    <col min="170" max="171" width="8.6640625" style="1" bestFit="1" customWidth="1"/>
    <col min="172" max="172" width="8.33203125" style="1" bestFit="1" customWidth="1"/>
    <col min="173" max="173" width="8.6640625" style="1" bestFit="1" customWidth="1"/>
    <col min="174" max="174" width="8.33203125" style="1" bestFit="1" customWidth="1"/>
    <col min="175" max="175" width="8.6640625" style="1" bestFit="1" customWidth="1"/>
    <col min="176" max="176" width="8.33203125" style="1" bestFit="1" customWidth="1"/>
    <col min="177" max="177" width="8.6640625" style="1" bestFit="1" customWidth="1"/>
    <col min="178" max="178" width="8.33203125" style="1" bestFit="1" customWidth="1"/>
    <col min="179" max="179" width="8.6640625" style="1" bestFit="1" customWidth="1"/>
    <col min="180" max="180" width="8.33203125" style="1" bestFit="1" customWidth="1"/>
    <col min="181" max="181" width="8.6640625" style="1" bestFit="1" customWidth="1"/>
    <col min="182" max="182" width="8.33203125" style="1" bestFit="1" customWidth="1"/>
    <col min="183" max="184" width="8.6640625" style="1" bestFit="1" customWidth="1"/>
    <col min="185" max="185" width="8.33203125" style="1" bestFit="1" customWidth="1"/>
    <col min="186" max="186" width="8.6640625" style="1" bestFit="1" customWidth="1"/>
    <col min="187" max="187" width="8.33203125" style="1" bestFit="1" customWidth="1"/>
    <col min="188" max="188" width="8.6640625" style="1" bestFit="1" customWidth="1"/>
    <col min="189" max="189" width="8.33203125" style="1" bestFit="1" customWidth="1"/>
    <col min="190" max="191" width="8.6640625" style="1" bestFit="1" customWidth="1"/>
    <col min="192" max="192" width="8.33203125" style="1" bestFit="1" customWidth="1"/>
    <col min="193" max="193" width="8.6640625" style="1" bestFit="1" customWidth="1"/>
    <col min="194" max="194" width="8.33203125" style="1" bestFit="1" customWidth="1"/>
    <col min="195" max="195" width="8.6640625" style="1" bestFit="1" customWidth="1"/>
    <col min="196" max="196" width="8.33203125" style="1" bestFit="1" customWidth="1"/>
    <col min="197" max="197" width="8.6640625" style="1" bestFit="1" customWidth="1"/>
    <col min="198" max="198" width="8.33203125" style="1" bestFit="1" customWidth="1"/>
    <col min="199" max="199" width="8.6640625" style="1" bestFit="1" customWidth="1"/>
    <col min="200" max="200" width="8.33203125" style="1" bestFit="1" customWidth="1"/>
    <col min="201" max="201" width="8.6640625" style="1" bestFit="1" customWidth="1"/>
    <col min="202" max="202" width="8.33203125" style="1" bestFit="1" customWidth="1"/>
    <col min="203" max="204" width="8.6640625" style="1" bestFit="1" customWidth="1"/>
    <col min="205" max="205" width="8.33203125" style="1" bestFit="1" customWidth="1"/>
    <col min="206" max="206" width="8.6640625" style="1" bestFit="1" customWidth="1"/>
    <col min="207" max="207" width="8.33203125" style="1" bestFit="1" customWidth="1"/>
    <col min="208" max="208" width="8.6640625" style="1" bestFit="1" customWidth="1"/>
    <col min="209" max="209" width="8.33203125" style="1" bestFit="1" customWidth="1"/>
    <col min="210" max="211" width="8.6640625" style="1" bestFit="1" customWidth="1"/>
    <col min="212" max="212" width="8.33203125" style="1" bestFit="1" customWidth="1"/>
    <col min="213" max="213" width="8.6640625" style="1" bestFit="1" customWidth="1"/>
    <col min="214" max="214" width="8.33203125" style="1" bestFit="1" customWidth="1"/>
    <col min="215" max="215" width="8.6640625" style="1" bestFit="1" customWidth="1"/>
    <col min="216" max="216" width="8.33203125" style="1" bestFit="1" customWidth="1"/>
    <col min="217" max="16384" width="9.33203125" style="1"/>
  </cols>
  <sheetData>
    <row r="1" spans="1:27">
      <c r="D1" s="50" t="s">
        <v>103</v>
      </c>
      <c r="F1" s="52" t="s">
        <v>102</v>
      </c>
      <c r="K1" s="105" t="s">
        <v>158</v>
      </c>
      <c r="L1" s="50"/>
      <c r="M1" s="50"/>
      <c r="N1" s="50"/>
      <c r="P1" s="46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>
      <c r="A2" s="1" t="s">
        <v>101</v>
      </c>
      <c r="B2" s="50">
        <f>SUM(C2:C5)</f>
        <v>2</v>
      </c>
      <c r="C2" s="50">
        <f>IF(G3="",0,1)</f>
        <v>1</v>
      </c>
      <c r="G2" s="88">
        <v>1</v>
      </c>
      <c r="H2" s="88">
        <v>2</v>
      </c>
      <c r="I2" s="88">
        <v>3</v>
      </c>
      <c r="J2" s="88">
        <v>4</v>
      </c>
      <c r="L2" s="50">
        <v>1</v>
      </c>
      <c r="M2" s="50">
        <v>2</v>
      </c>
      <c r="N2" s="50">
        <v>3</v>
      </c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>
      <c r="A3" s="1" t="s">
        <v>100</v>
      </c>
      <c r="B3" s="50">
        <f>COUNTA(G:G)-2</f>
        <v>30</v>
      </c>
      <c r="C3" s="50">
        <f>IF(H3="",0,1)</f>
        <v>1</v>
      </c>
      <c r="F3" s="49" t="s">
        <v>99</v>
      </c>
      <c r="G3" s="121" t="str">
        <f>'Ads. rate meas. calc.'!M20</f>
        <v>propane</v>
      </c>
      <c r="H3" s="121" t="str">
        <f>'Ads. rate meas. calc.'!M21</f>
        <v>propylene</v>
      </c>
      <c r="I3" s="121" t="str">
        <f>'Ads. rate meas. calc.'!M22</f>
        <v/>
      </c>
      <c r="J3" s="121" t="str">
        <f>'Ads. rate meas. calc.'!M23</f>
        <v/>
      </c>
      <c r="L3" s="50"/>
      <c r="M3" s="103"/>
      <c r="N3" s="50"/>
      <c r="Q3" s="1" t="s">
        <v>97</v>
      </c>
      <c r="R3" s="1" t="s">
        <v>96</v>
      </c>
      <c r="S3" s="1" t="s">
        <v>166</v>
      </c>
      <c r="T3" s="1" t="s">
        <v>167</v>
      </c>
      <c r="U3" s="1" t="s">
        <v>168</v>
      </c>
      <c r="V3" s="1" t="s">
        <v>169</v>
      </c>
      <c r="W3" s="1"/>
      <c r="X3" s="1"/>
      <c r="Y3" s="1"/>
      <c r="Z3" s="1"/>
      <c r="AA3" s="1"/>
    </row>
    <row r="4" spans="1:27" ht="13">
      <c r="B4" s="50"/>
      <c r="C4" s="50">
        <f>IF(I3="",0,1)</f>
        <v>0</v>
      </c>
      <c r="D4" s="50">
        <v>1</v>
      </c>
      <c r="E4" s="50">
        <v>5</v>
      </c>
      <c r="F4" s="89">
        <v>1</v>
      </c>
      <c r="G4" s="127">
        <v>3287900</v>
      </c>
      <c r="H4" s="127">
        <v>6344780</v>
      </c>
      <c r="L4" s="50"/>
      <c r="M4" s="103"/>
      <c r="N4" s="50"/>
      <c r="P4" s="108" t="str">
        <f>'Ads. rate meas. calc.'!M20</f>
        <v>propane</v>
      </c>
      <c r="Q4" s="2">
        <v>3287900</v>
      </c>
      <c r="R4" s="2">
        <v>1932780</v>
      </c>
      <c r="S4" s="2">
        <v>3188800</v>
      </c>
      <c r="T4" s="2">
        <v>2063840</v>
      </c>
      <c r="U4" s="2">
        <v>9285680</v>
      </c>
      <c r="V4" s="2">
        <v>8781390</v>
      </c>
      <c r="Z4" s="1"/>
      <c r="AA4" s="1"/>
    </row>
    <row r="5" spans="1:27" ht="13">
      <c r="A5" s="1" t="s">
        <v>95</v>
      </c>
      <c r="B5" s="50"/>
      <c r="C5" s="50">
        <f>IF(J3="",0,1)</f>
        <v>0</v>
      </c>
      <c r="D5" s="50">
        <v>2</v>
      </c>
      <c r="E5" s="50">
        <v>5</v>
      </c>
      <c r="F5" s="90">
        <v>2</v>
      </c>
      <c r="G5" s="127">
        <v>3287900</v>
      </c>
      <c r="H5" s="127">
        <v>6344780</v>
      </c>
      <c r="L5" s="50"/>
      <c r="M5" s="103"/>
      <c r="N5" s="50"/>
      <c r="P5" s="108" t="str">
        <f>'Ads. rate meas. calc.'!M21</f>
        <v>propylene</v>
      </c>
      <c r="Q5" s="2">
        <v>6344780</v>
      </c>
      <c r="R5" s="2">
        <v>4702600</v>
      </c>
      <c r="S5" s="2">
        <v>9049300</v>
      </c>
      <c r="T5" s="2">
        <v>6934420</v>
      </c>
      <c r="U5" s="2">
        <v>10776000</v>
      </c>
      <c r="V5" s="2">
        <v>10675700</v>
      </c>
      <c r="Z5" s="1"/>
      <c r="AA5" s="1"/>
    </row>
    <row r="6" spans="1:27" ht="13">
      <c r="A6" s="1" t="s">
        <v>94</v>
      </c>
      <c r="B6" s="50"/>
      <c r="C6" s="50"/>
      <c r="D6" s="50">
        <v>3</v>
      </c>
      <c r="E6" s="50">
        <v>5</v>
      </c>
      <c r="F6" s="90">
        <v>3</v>
      </c>
      <c r="G6" s="127">
        <v>3287900</v>
      </c>
      <c r="H6" s="127">
        <v>6344780</v>
      </c>
      <c r="L6" s="50"/>
      <c r="M6" s="103"/>
      <c r="N6" s="50"/>
      <c r="P6" s="108" t="str">
        <f>'Ads. rate meas. calc.'!M22</f>
        <v/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Z6" s="1"/>
      <c r="AA6" s="1"/>
    </row>
    <row r="7" spans="1:27" ht="13">
      <c r="B7" s="50"/>
      <c r="C7" s="50"/>
      <c r="F7" s="90">
        <v>4</v>
      </c>
      <c r="G7" s="127">
        <v>3287900</v>
      </c>
      <c r="H7" s="127">
        <v>6344780</v>
      </c>
      <c r="L7" s="50"/>
      <c r="M7" s="103"/>
      <c r="N7" s="50"/>
      <c r="P7" s="108" t="str">
        <f>'Ads. rate meas. calc.'!M23</f>
        <v/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Z7" s="1"/>
      <c r="AA7" s="1"/>
    </row>
    <row r="8" spans="1:27" ht="13">
      <c r="A8" s="1" t="s">
        <v>93</v>
      </c>
      <c r="B8" s="50">
        <v>0</v>
      </c>
      <c r="C8" s="50"/>
      <c r="F8" s="90">
        <v>5</v>
      </c>
      <c r="G8" s="127">
        <v>3287900</v>
      </c>
      <c r="H8" s="127">
        <v>6344780</v>
      </c>
      <c r="L8" s="50"/>
      <c r="M8" s="50"/>
      <c r="N8" s="50"/>
    </row>
    <row r="9" spans="1:27" ht="13">
      <c r="F9" s="90">
        <v>6</v>
      </c>
      <c r="G9" s="127">
        <v>1932780</v>
      </c>
      <c r="H9" s="127">
        <v>4702600</v>
      </c>
      <c r="L9" s="50"/>
      <c r="M9" s="50"/>
      <c r="N9" s="50"/>
    </row>
    <row r="10" spans="1:27" ht="13">
      <c r="F10" s="90">
        <v>7</v>
      </c>
      <c r="G10" s="127">
        <v>1932780</v>
      </c>
      <c r="H10" s="127">
        <v>4702600</v>
      </c>
      <c r="L10" s="50"/>
      <c r="M10" s="50"/>
      <c r="N10" s="50"/>
    </row>
    <row r="11" spans="1:27" ht="13">
      <c r="F11" s="90">
        <v>8</v>
      </c>
      <c r="G11" s="127">
        <v>1932780</v>
      </c>
      <c r="H11" s="127">
        <v>4702600</v>
      </c>
      <c r="L11" s="50"/>
      <c r="M11" s="50"/>
      <c r="N11" s="50"/>
    </row>
    <row r="12" spans="1:27" ht="13">
      <c r="F12" s="90">
        <v>9</v>
      </c>
      <c r="G12" s="127">
        <v>1932780</v>
      </c>
      <c r="H12" s="127">
        <v>4702600</v>
      </c>
      <c r="L12" s="50"/>
      <c r="M12" s="50"/>
      <c r="N12" s="50"/>
    </row>
    <row r="13" spans="1:27" ht="13">
      <c r="F13" s="90">
        <v>10</v>
      </c>
      <c r="G13" s="127">
        <v>1932780</v>
      </c>
      <c r="H13" s="127">
        <v>4702600</v>
      </c>
      <c r="L13" s="50"/>
      <c r="M13" s="103"/>
      <c r="N13" s="50"/>
    </row>
    <row r="14" spans="1:27" ht="13">
      <c r="F14" s="90">
        <v>11</v>
      </c>
      <c r="G14" s="127">
        <v>3188800</v>
      </c>
      <c r="H14" s="127">
        <v>9049300</v>
      </c>
      <c r="L14" s="50"/>
      <c r="M14" s="103"/>
      <c r="N14" s="50"/>
    </row>
    <row r="15" spans="1:27" ht="13">
      <c r="F15" s="90">
        <v>12</v>
      </c>
      <c r="G15" s="127">
        <v>3188800</v>
      </c>
      <c r="H15" s="127">
        <v>9049300</v>
      </c>
      <c r="L15" s="50"/>
      <c r="M15" s="103"/>
      <c r="N15" s="50"/>
    </row>
    <row r="16" spans="1:27" ht="13">
      <c r="F16" s="90">
        <v>13</v>
      </c>
      <c r="G16" s="127">
        <v>3188800</v>
      </c>
      <c r="H16" s="127">
        <v>9049300</v>
      </c>
      <c r="L16" s="50"/>
      <c r="M16" s="103"/>
      <c r="N16" s="50"/>
    </row>
    <row r="17" spans="6:14" ht="13">
      <c r="F17" s="90">
        <v>14</v>
      </c>
      <c r="G17" s="127">
        <v>3188800</v>
      </c>
      <c r="H17" s="127">
        <v>9049300</v>
      </c>
      <c r="L17" s="50"/>
      <c r="M17" s="103"/>
      <c r="N17" s="50"/>
    </row>
    <row r="18" spans="6:14" ht="13">
      <c r="F18" s="90">
        <v>15</v>
      </c>
      <c r="G18" s="127">
        <v>3188800</v>
      </c>
      <c r="H18" s="127">
        <v>9049300</v>
      </c>
      <c r="L18" s="50"/>
      <c r="M18" s="103"/>
      <c r="N18" s="50"/>
    </row>
    <row r="19" spans="6:14" ht="13">
      <c r="F19" s="90">
        <v>16</v>
      </c>
      <c r="G19" s="127">
        <v>2063840</v>
      </c>
      <c r="H19" s="127">
        <v>6934420</v>
      </c>
      <c r="L19" s="50"/>
      <c r="M19" s="103"/>
      <c r="N19" s="50"/>
    </row>
    <row r="20" spans="6:14" ht="13">
      <c r="F20" s="90">
        <v>17</v>
      </c>
      <c r="G20" s="127">
        <v>2063840</v>
      </c>
      <c r="H20" s="127">
        <v>6934420</v>
      </c>
      <c r="L20" s="103"/>
      <c r="M20" s="50"/>
      <c r="N20" s="50"/>
    </row>
    <row r="21" spans="6:14" ht="13">
      <c r="F21" s="90">
        <v>18</v>
      </c>
      <c r="G21" s="127">
        <v>2063840</v>
      </c>
      <c r="H21" s="127">
        <v>6934420</v>
      </c>
      <c r="L21" s="103"/>
      <c r="M21" s="50"/>
      <c r="N21" s="50"/>
    </row>
    <row r="22" spans="6:14" ht="13">
      <c r="F22" s="90">
        <v>19</v>
      </c>
      <c r="G22" s="127">
        <v>2063840</v>
      </c>
      <c r="H22" s="127">
        <v>6934420</v>
      </c>
      <c r="L22" s="50"/>
      <c r="M22" s="50"/>
      <c r="N22" s="50"/>
    </row>
    <row r="23" spans="6:14" ht="13">
      <c r="F23" s="90">
        <v>20</v>
      </c>
      <c r="G23" s="127">
        <v>2063840</v>
      </c>
      <c r="H23" s="127">
        <v>6934420</v>
      </c>
      <c r="L23" s="50"/>
      <c r="M23" s="50"/>
      <c r="N23" s="50"/>
    </row>
    <row r="24" spans="6:14" ht="13">
      <c r="F24" s="90">
        <v>21</v>
      </c>
      <c r="G24" s="127">
        <v>9285680</v>
      </c>
      <c r="H24" s="127">
        <v>10776000</v>
      </c>
      <c r="L24" s="50"/>
      <c r="M24" s="50"/>
      <c r="N24" s="50"/>
    </row>
    <row r="25" spans="6:14" ht="13">
      <c r="F25" s="90">
        <v>22</v>
      </c>
      <c r="G25" s="127">
        <v>9285680</v>
      </c>
      <c r="H25" s="127">
        <v>10776000</v>
      </c>
      <c r="L25" s="50"/>
      <c r="M25" s="50"/>
      <c r="N25" s="50"/>
    </row>
    <row r="26" spans="6:14" ht="13">
      <c r="F26" s="90">
        <v>23</v>
      </c>
      <c r="G26" s="127">
        <v>9285680</v>
      </c>
      <c r="H26" s="127">
        <v>10776000</v>
      </c>
      <c r="L26" s="50"/>
      <c r="M26" s="50"/>
      <c r="N26" s="50"/>
    </row>
    <row r="27" spans="6:14" ht="13">
      <c r="F27" s="90">
        <v>24</v>
      </c>
      <c r="G27" s="127">
        <v>9285680</v>
      </c>
      <c r="H27" s="127">
        <v>10776000</v>
      </c>
      <c r="L27" s="50"/>
      <c r="M27" s="50"/>
      <c r="N27" s="50"/>
    </row>
    <row r="28" spans="6:14" ht="13">
      <c r="F28" s="90">
        <v>25</v>
      </c>
      <c r="G28" s="127">
        <v>9285680</v>
      </c>
      <c r="H28" s="127">
        <v>10776000</v>
      </c>
      <c r="L28" s="50"/>
      <c r="M28" s="50"/>
      <c r="N28" s="50"/>
    </row>
    <row r="29" spans="6:14" ht="13">
      <c r="F29" s="90">
        <v>26</v>
      </c>
      <c r="G29" s="127">
        <v>8781390</v>
      </c>
      <c r="H29" s="127">
        <v>10675700</v>
      </c>
      <c r="L29" s="50"/>
      <c r="M29" s="50"/>
      <c r="N29" s="50"/>
    </row>
    <row r="30" spans="6:14" ht="13">
      <c r="F30" s="90">
        <v>27</v>
      </c>
      <c r="G30" s="127">
        <v>8781390</v>
      </c>
      <c r="H30" s="127">
        <v>10675700</v>
      </c>
      <c r="L30" s="50"/>
      <c r="M30" s="50"/>
      <c r="N30" s="50"/>
    </row>
    <row r="31" spans="6:14" ht="13">
      <c r="F31" s="90">
        <v>28</v>
      </c>
      <c r="G31" s="127">
        <v>8781390</v>
      </c>
      <c r="H31" s="127">
        <v>10675700</v>
      </c>
      <c r="L31" s="50"/>
      <c r="M31" s="50"/>
      <c r="N31" s="50"/>
    </row>
    <row r="32" spans="6:14" ht="13">
      <c r="F32" s="90">
        <v>29</v>
      </c>
      <c r="G32" s="127">
        <v>8781390</v>
      </c>
      <c r="H32" s="127">
        <v>10675700</v>
      </c>
      <c r="L32" s="50"/>
      <c r="M32" s="50"/>
      <c r="N32" s="50"/>
    </row>
    <row r="33" spans="3:14" ht="13">
      <c r="F33" s="90">
        <v>30</v>
      </c>
      <c r="G33" s="127">
        <v>8781390</v>
      </c>
      <c r="H33" s="127">
        <v>10675700</v>
      </c>
      <c r="L33" s="50"/>
      <c r="M33" s="50"/>
      <c r="N33" s="50"/>
    </row>
    <row r="34" spans="3:14" ht="13">
      <c r="F34" s="90">
        <v>31</v>
      </c>
      <c r="G34"/>
      <c r="H34"/>
      <c r="I34"/>
      <c r="J34"/>
      <c r="L34" s="50"/>
      <c r="M34" s="50"/>
      <c r="N34" s="50"/>
    </row>
    <row r="35" spans="3:14" ht="13">
      <c r="F35" s="90">
        <v>32</v>
      </c>
      <c r="G35"/>
      <c r="H35"/>
      <c r="I35"/>
      <c r="J35"/>
      <c r="L35" s="50"/>
    </row>
    <row r="36" spans="3:14" ht="13">
      <c r="F36" s="90">
        <v>33</v>
      </c>
      <c r="G36"/>
      <c r="H36"/>
      <c r="I36"/>
      <c r="J36"/>
      <c r="L36" s="50"/>
    </row>
    <row r="37" spans="3:14" ht="13">
      <c r="C37" s="88"/>
      <c r="D37" s="91"/>
      <c r="F37" s="90">
        <v>34</v>
      </c>
      <c r="G37"/>
      <c r="H37"/>
      <c r="I37"/>
      <c r="J37"/>
      <c r="L37" s="50"/>
    </row>
    <row r="38" spans="3:14" ht="13">
      <c r="C38" s="88"/>
      <c r="D38" s="91"/>
      <c r="F38" s="90">
        <v>35</v>
      </c>
      <c r="G38"/>
      <c r="H38"/>
      <c r="I38"/>
      <c r="J38"/>
      <c r="L38" s="50"/>
    </row>
    <row r="39" spans="3:14" ht="13">
      <c r="C39" s="88"/>
      <c r="D39" s="91"/>
      <c r="F39" s="90">
        <v>36</v>
      </c>
      <c r="G39"/>
      <c r="H39"/>
      <c r="I39"/>
      <c r="J39"/>
      <c r="L39" s="50"/>
    </row>
    <row r="40" spans="3:14" ht="13">
      <c r="C40" s="88"/>
      <c r="D40" s="91"/>
      <c r="F40" s="90">
        <v>37</v>
      </c>
      <c r="G40"/>
      <c r="H40"/>
      <c r="I40"/>
      <c r="J40"/>
      <c r="L40" s="50"/>
    </row>
    <row r="41" spans="3:14" ht="13">
      <c r="C41" s="88"/>
      <c r="D41" s="91"/>
      <c r="F41" s="90">
        <v>38</v>
      </c>
      <c r="G41"/>
      <c r="H41"/>
      <c r="I41"/>
      <c r="J41"/>
      <c r="L41" s="103"/>
      <c r="M41" s="104"/>
    </row>
    <row r="42" spans="3:14" ht="13">
      <c r="C42" s="88"/>
      <c r="D42" s="91"/>
      <c r="F42" s="90">
        <v>39</v>
      </c>
      <c r="G42"/>
      <c r="H42"/>
      <c r="I42"/>
      <c r="J42"/>
      <c r="L42" s="103"/>
      <c r="M42" s="104"/>
    </row>
    <row r="43" spans="3:14" ht="13">
      <c r="C43" s="88"/>
      <c r="D43" s="91"/>
      <c r="F43" s="90">
        <v>40</v>
      </c>
      <c r="G43"/>
      <c r="H43"/>
      <c r="I43"/>
      <c r="J43"/>
      <c r="L43" s="103"/>
      <c r="M43" s="104"/>
    </row>
    <row r="44" spans="3:14" ht="13">
      <c r="C44" s="88"/>
      <c r="D44" s="91"/>
      <c r="F44" s="90">
        <v>41</v>
      </c>
      <c r="G44"/>
      <c r="H44"/>
      <c r="I44"/>
      <c r="J44"/>
      <c r="L44" s="103"/>
      <c r="M44" s="104"/>
    </row>
    <row r="45" spans="3:14" ht="13">
      <c r="C45" s="88"/>
      <c r="D45" s="91"/>
      <c r="F45" s="90">
        <v>42</v>
      </c>
      <c r="G45"/>
      <c r="H45"/>
      <c r="I45"/>
      <c r="J45"/>
      <c r="L45" s="103"/>
      <c r="M45" s="104"/>
    </row>
    <row r="46" spans="3:14" ht="13">
      <c r="C46" s="88"/>
      <c r="D46" s="91"/>
      <c r="F46" s="90">
        <v>43</v>
      </c>
      <c r="G46"/>
      <c r="H46"/>
      <c r="I46"/>
      <c r="J46"/>
      <c r="L46" s="103"/>
    </row>
    <row r="47" spans="3:14" ht="13">
      <c r="C47" s="88"/>
      <c r="D47" s="91"/>
      <c r="F47" s="90">
        <v>44</v>
      </c>
      <c r="G47"/>
      <c r="H47"/>
      <c r="I47"/>
      <c r="J47"/>
      <c r="L47" s="103"/>
    </row>
    <row r="48" spans="3:14" ht="13">
      <c r="C48" s="88"/>
      <c r="D48" s="91"/>
      <c r="F48" s="90">
        <v>45</v>
      </c>
      <c r="G48"/>
      <c r="H48"/>
      <c r="I48"/>
      <c r="J48"/>
      <c r="L48" s="103"/>
    </row>
    <row r="49" spans="3:58" ht="13">
      <c r="C49" s="88"/>
      <c r="D49" s="91"/>
      <c r="F49" s="90">
        <v>46</v>
      </c>
      <c r="G49"/>
      <c r="H49"/>
      <c r="I49"/>
      <c r="J49"/>
      <c r="L49" s="50"/>
    </row>
    <row r="50" spans="3:58" ht="13">
      <c r="C50" s="88"/>
      <c r="D50" s="91"/>
      <c r="F50" s="90">
        <v>47</v>
      </c>
      <c r="G50"/>
      <c r="H50"/>
      <c r="I50"/>
      <c r="J50"/>
      <c r="L50" s="50"/>
    </row>
    <row r="51" spans="3:58" ht="13">
      <c r="C51" s="88"/>
      <c r="D51" s="91"/>
      <c r="F51" s="90">
        <v>48</v>
      </c>
      <c r="G51"/>
      <c r="H51"/>
      <c r="I51"/>
      <c r="J51"/>
      <c r="L51" s="103"/>
      <c r="M51" s="104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</row>
    <row r="52" spans="3:58" ht="13">
      <c r="C52" s="88"/>
      <c r="D52" s="91"/>
      <c r="F52" s="90">
        <v>49</v>
      </c>
      <c r="G52"/>
      <c r="H52"/>
      <c r="I52"/>
      <c r="J52"/>
      <c r="L52" s="103"/>
      <c r="M52" s="104"/>
      <c r="S52" s="88"/>
      <c r="T52" s="88"/>
      <c r="U52" s="88"/>
      <c r="V52" s="88"/>
      <c r="W52" s="88"/>
      <c r="X52" s="88"/>
      <c r="Y52" s="88"/>
      <c r="Z52" s="88"/>
      <c r="AA52" s="88"/>
      <c r="AB52" s="88"/>
      <c r="AC52" s="88"/>
      <c r="AD52" s="88"/>
      <c r="AE52" s="88"/>
      <c r="AF52" s="88"/>
      <c r="AG52" s="88"/>
      <c r="AH52" s="88"/>
      <c r="AI52" s="88"/>
      <c r="AJ52" s="88"/>
      <c r="AK52" s="88"/>
      <c r="AL52" s="88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</row>
    <row r="53" spans="3:58" ht="13">
      <c r="C53" s="88"/>
      <c r="D53" s="91"/>
      <c r="F53" s="90">
        <v>50</v>
      </c>
      <c r="G53"/>
      <c r="H53"/>
      <c r="I53"/>
      <c r="J53"/>
      <c r="L53" s="103"/>
      <c r="M53" s="104"/>
      <c r="S53" s="88"/>
      <c r="T53" s="88"/>
      <c r="U53" s="88"/>
      <c r="V53" s="88"/>
      <c r="W53" s="88"/>
      <c r="X53" s="88"/>
      <c r="Y53" s="88"/>
      <c r="Z53" s="88"/>
      <c r="AA53" s="88"/>
      <c r="AB53" s="88"/>
      <c r="AC53" s="88"/>
      <c r="AD53" s="88"/>
      <c r="AE53" s="88"/>
      <c r="AF53" s="88"/>
      <c r="AG53" s="88"/>
      <c r="AH53" s="88"/>
      <c r="AI53" s="88"/>
      <c r="AJ53" s="88"/>
      <c r="AK53" s="88"/>
      <c r="AL53" s="88"/>
      <c r="AM53" s="88"/>
      <c r="AN53" s="88"/>
      <c r="AO53" s="88"/>
      <c r="AP53" s="88"/>
      <c r="AQ53" s="88"/>
      <c r="AR53" s="88"/>
      <c r="AS53" s="88"/>
      <c r="AT53" s="88"/>
      <c r="AU53" s="88"/>
      <c r="AV53" s="88"/>
      <c r="AW53" s="88"/>
      <c r="AX53" s="88"/>
      <c r="AY53" s="88"/>
      <c r="AZ53" s="88"/>
      <c r="BA53" s="88"/>
      <c r="BB53" s="88"/>
      <c r="BC53" s="88"/>
      <c r="BD53" s="88"/>
      <c r="BE53" s="88"/>
      <c r="BF53" s="88"/>
    </row>
    <row r="54" spans="3:58" ht="13">
      <c r="C54" s="88"/>
      <c r="D54" s="91"/>
      <c r="F54" s="90">
        <v>51</v>
      </c>
      <c r="G54"/>
      <c r="H54"/>
      <c r="L54" s="103"/>
      <c r="M54" s="104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88"/>
      <c r="AN54" s="88"/>
      <c r="AO54" s="88"/>
      <c r="AP54" s="88"/>
      <c r="AQ54" s="88"/>
      <c r="AR54" s="88"/>
      <c r="AS54" s="88"/>
      <c r="AT54" s="88"/>
      <c r="AU54" s="88"/>
      <c r="AV54" s="88"/>
      <c r="AW54" s="88"/>
      <c r="AX54" s="88"/>
      <c r="AY54" s="88"/>
      <c r="AZ54" s="88"/>
      <c r="BA54" s="88"/>
      <c r="BB54" s="88"/>
      <c r="BC54" s="88"/>
      <c r="BD54" s="88"/>
      <c r="BE54" s="88"/>
      <c r="BF54" s="88"/>
    </row>
    <row r="55" spans="3:58" ht="13">
      <c r="C55" s="88"/>
      <c r="D55" s="91"/>
      <c r="F55" s="90">
        <v>52</v>
      </c>
      <c r="G55"/>
      <c r="H55"/>
      <c r="L55" s="103"/>
      <c r="M55" s="104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</row>
    <row r="56" spans="3:58" ht="13">
      <c r="F56" s="90">
        <v>53</v>
      </c>
      <c r="G56"/>
      <c r="H56"/>
      <c r="L56" s="103"/>
      <c r="M56" s="104"/>
    </row>
    <row r="57" spans="3:58" ht="13">
      <c r="F57" s="90">
        <v>54</v>
      </c>
      <c r="G57"/>
      <c r="H57"/>
      <c r="L57" s="103"/>
      <c r="M57" s="104"/>
    </row>
    <row r="58" spans="3:58" ht="13">
      <c r="F58" s="90">
        <v>55</v>
      </c>
      <c r="G58"/>
      <c r="H58"/>
      <c r="L58" s="103"/>
      <c r="M58" s="104"/>
    </row>
    <row r="59" spans="3:58" ht="13">
      <c r="F59" s="90">
        <v>56</v>
      </c>
      <c r="G59"/>
      <c r="H59"/>
      <c r="L59" s="103"/>
      <c r="M59" s="104"/>
    </row>
    <row r="60" spans="3:58" ht="13">
      <c r="F60" s="90">
        <v>57</v>
      </c>
      <c r="G60"/>
      <c r="H60"/>
      <c r="L60" s="103"/>
      <c r="M60" s="104"/>
    </row>
    <row r="61" spans="3:58" ht="13">
      <c r="F61" s="90">
        <v>58</v>
      </c>
      <c r="G61"/>
      <c r="H61"/>
      <c r="L61" s="50"/>
    </row>
    <row r="62" spans="3:58" ht="13">
      <c r="F62" s="90">
        <v>59</v>
      </c>
      <c r="G62"/>
      <c r="H62"/>
      <c r="L62" s="50"/>
    </row>
    <row r="63" spans="3:58" ht="13">
      <c r="F63" s="90">
        <v>60</v>
      </c>
      <c r="G63"/>
      <c r="H63"/>
      <c r="L63" s="50"/>
    </row>
    <row r="64" spans="3:58" ht="13">
      <c r="F64" s="90">
        <v>61</v>
      </c>
      <c r="G64"/>
      <c r="H64"/>
      <c r="L64" s="50"/>
      <c r="M64" s="123"/>
    </row>
    <row r="65" spans="6:13" ht="13">
      <c r="F65" s="90">
        <v>62</v>
      </c>
      <c r="G65"/>
      <c r="H65"/>
      <c r="L65" s="50"/>
      <c r="M65" s="123"/>
    </row>
    <row r="66" spans="6:13" ht="13">
      <c r="F66" s="90">
        <v>63</v>
      </c>
      <c r="G66"/>
      <c r="H66"/>
      <c r="L66" s="50"/>
      <c r="M66" s="123"/>
    </row>
    <row r="67" spans="6:13" ht="13">
      <c r="F67" s="90">
        <v>64</v>
      </c>
      <c r="G67"/>
      <c r="H67"/>
      <c r="L67" s="50"/>
      <c r="M67" s="123"/>
    </row>
    <row r="68" spans="6:13" ht="13">
      <c r="F68" s="90">
        <v>65</v>
      </c>
      <c r="G68"/>
      <c r="H68"/>
      <c r="L68" s="50"/>
      <c r="M68" s="123"/>
    </row>
    <row r="69" spans="6:13" ht="13">
      <c r="F69" s="90">
        <v>66</v>
      </c>
      <c r="G69"/>
      <c r="H69"/>
      <c r="L69" s="50"/>
      <c r="M69" s="123"/>
    </row>
    <row r="70" spans="6:13" ht="13">
      <c r="F70" s="90">
        <v>67</v>
      </c>
      <c r="G70"/>
      <c r="H70"/>
      <c r="L70" s="50"/>
      <c r="M70" s="123"/>
    </row>
    <row r="71" spans="6:13" ht="13">
      <c r="F71" s="90">
        <v>68</v>
      </c>
      <c r="G71"/>
      <c r="H71"/>
      <c r="L71" s="50"/>
      <c r="M71" s="123"/>
    </row>
    <row r="72" spans="6:13" ht="13">
      <c r="F72" s="90">
        <v>69</v>
      </c>
      <c r="G72"/>
      <c r="H72"/>
      <c r="L72" s="50"/>
      <c r="M72" s="123"/>
    </row>
    <row r="73" spans="6:13" ht="13">
      <c r="F73" s="90">
        <v>70</v>
      </c>
      <c r="G73"/>
      <c r="H73"/>
      <c r="L73" s="50"/>
      <c r="M73" s="123"/>
    </row>
    <row r="74" spans="6:13" ht="13">
      <c r="F74" s="90">
        <v>71</v>
      </c>
      <c r="G74"/>
      <c r="H74"/>
      <c r="L74" s="50"/>
      <c r="M74" s="123"/>
    </row>
    <row r="75" spans="6:13" ht="13">
      <c r="F75" s="90">
        <v>72</v>
      </c>
      <c r="G75"/>
      <c r="H75"/>
      <c r="L75" s="50"/>
      <c r="M75" s="123"/>
    </row>
    <row r="76" spans="6:13" ht="13">
      <c r="F76" s="90">
        <v>73</v>
      </c>
      <c r="G76"/>
      <c r="H76"/>
      <c r="L76" s="50"/>
      <c r="M76" s="123"/>
    </row>
    <row r="77" spans="6:13" ht="13">
      <c r="F77" s="90">
        <v>74</v>
      </c>
      <c r="G77"/>
      <c r="H77"/>
      <c r="L77" s="50"/>
      <c r="M77" s="123"/>
    </row>
    <row r="78" spans="6:13" ht="13">
      <c r="F78" s="90">
        <v>75</v>
      </c>
      <c r="G78"/>
      <c r="H78"/>
      <c r="L78" s="50"/>
      <c r="M78" s="123"/>
    </row>
    <row r="79" spans="6:13" ht="13">
      <c r="F79" s="90">
        <v>76</v>
      </c>
      <c r="G79"/>
      <c r="H79"/>
      <c r="L79" s="50"/>
      <c r="M79" s="123"/>
    </row>
    <row r="80" spans="6:13" ht="13">
      <c r="F80" s="90">
        <v>77</v>
      </c>
      <c r="G80"/>
      <c r="H80"/>
      <c r="L80" s="50"/>
      <c r="M80" s="123"/>
    </row>
    <row r="81" spans="6:13" ht="13">
      <c r="F81" s="90">
        <v>78</v>
      </c>
      <c r="G81"/>
      <c r="H81"/>
      <c r="L81" s="50"/>
      <c r="M81" s="123"/>
    </row>
    <row r="82" spans="6:13">
      <c r="F82" s="90">
        <v>79</v>
      </c>
      <c r="G82" s="122"/>
      <c r="H82" s="122"/>
      <c r="L82" s="50"/>
      <c r="M82" s="123"/>
    </row>
    <row r="83" spans="6:13">
      <c r="F83" s="90">
        <v>80</v>
      </c>
      <c r="G83" s="122"/>
      <c r="H83" s="122"/>
      <c r="L83" s="50"/>
      <c r="M83" s="123"/>
    </row>
    <row r="84" spans="6:13">
      <c r="F84" s="90">
        <v>81</v>
      </c>
      <c r="G84" s="122"/>
      <c r="H84" s="122"/>
      <c r="L84" s="50"/>
      <c r="M84" s="123"/>
    </row>
    <row r="85" spans="6:13">
      <c r="F85" s="90">
        <v>82</v>
      </c>
      <c r="G85" s="122"/>
      <c r="H85" s="122"/>
      <c r="L85" s="50"/>
      <c r="M85" s="123"/>
    </row>
    <row r="86" spans="6:13">
      <c r="F86" s="90">
        <v>83</v>
      </c>
      <c r="G86" s="122"/>
      <c r="H86" s="122"/>
      <c r="L86" s="50"/>
      <c r="M86" s="123"/>
    </row>
    <row r="87" spans="6:13">
      <c r="F87" s="90">
        <v>84</v>
      </c>
      <c r="G87" s="122"/>
      <c r="H87" s="122"/>
      <c r="L87" s="50"/>
      <c r="M87" s="123"/>
    </row>
    <row r="88" spans="6:13">
      <c r="F88" s="90">
        <v>85</v>
      </c>
      <c r="G88" s="122"/>
      <c r="H88" s="122"/>
      <c r="L88" s="50"/>
      <c r="M88" s="123"/>
    </row>
    <row r="89" spans="6:13">
      <c r="F89" s="90">
        <v>86</v>
      </c>
      <c r="G89" s="122"/>
      <c r="H89" s="122"/>
      <c r="L89" s="50"/>
      <c r="M89" s="123"/>
    </row>
    <row r="90" spans="6:13">
      <c r="F90" s="90">
        <v>87</v>
      </c>
      <c r="G90" s="122"/>
      <c r="H90" s="122"/>
      <c r="L90" s="50"/>
      <c r="M90" s="123"/>
    </row>
    <row r="91" spans="6:13">
      <c r="F91" s="90">
        <v>88</v>
      </c>
      <c r="G91" s="122"/>
      <c r="H91" s="122"/>
      <c r="L91" s="50"/>
      <c r="M91" s="123"/>
    </row>
    <row r="92" spans="6:13">
      <c r="F92" s="90">
        <v>89</v>
      </c>
      <c r="G92" s="122"/>
      <c r="H92" s="122"/>
      <c r="L92" s="50"/>
      <c r="M92" s="123"/>
    </row>
    <row r="93" spans="6:13">
      <c r="F93" s="90">
        <v>90</v>
      </c>
      <c r="G93" s="122"/>
      <c r="H93" s="122"/>
      <c r="L93" s="50"/>
      <c r="M93" s="123"/>
    </row>
    <row r="94" spans="6:13">
      <c r="F94" s="90">
        <v>91</v>
      </c>
      <c r="G94" s="122"/>
      <c r="H94" s="122"/>
      <c r="L94" s="50"/>
      <c r="M94" s="123"/>
    </row>
    <row r="95" spans="6:13">
      <c r="F95" s="90">
        <v>92</v>
      </c>
      <c r="G95" s="122"/>
      <c r="H95" s="122"/>
      <c r="L95" s="50"/>
      <c r="M95" s="123"/>
    </row>
    <row r="96" spans="6:13">
      <c r="F96" s="90">
        <v>93</v>
      </c>
      <c r="G96" s="122"/>
      <c r="H96" s="122"/>
      <c r="L96" s="50"/>
      <c r="M96" s="123"/>
    </row>
    <row r="97" spans="6:13">
      <c r="F97" s="90">
        <v>94</v>
      </c>
      <c r="G97" s="122"/>
      <c r="H97" s="122"/>
      <c r="L97" s="50"/>
      <c r="M97" s="123"/>
    </row>
    <row r="98" spans="6:13">
      <c r="F98" s="90">
        <v>95</v>
      </c>
      <c r="G98" s="122"/>
      <c r="H98" s="122"/>
      <c r="L98" s="50"/>
      <c r="M98" s="123"/>
    </row>
    <row r="99" spans="6:13">
      <c r="F99" s="90">
        <v>96</v>
      </c>
      <c r="G99" s="122"/>
      <c r="H99" s="122"/>
      <c r="L99" s="50"/>
      <c r="M99" s="123"/>
    </row>
    <row r="100" spans="6:13">
      <c r="F100" s="90">
        <v>97</v>
      </c>
      <c r="G100" s="122"/>
      <c r="H100" s="122"/>
      <c r="L100" s="50"/>
      <c r="M100" s="123"/>
    </row>
    <row r="101" spans="6:13">
      <c r="F101" s="90">
        <v>98</v>
      </c>
      <c r="G101" s="122"/>
      <c r="H101" s="122"/>
      <c r="L101" s="50"/>
      <c r="M101" s="123"/>
    </row>
    <row r="102" spans="6:13">
      <c r="F102" s="90">
        <v>99</v>
      </c>
      <c r="G102" s="122"/>
      <c r="H102" s="122"/>
      <c r="L102" s="50"/>
      <c r="M102" s="123"/>
    </row>
    <row r="103" spans="6:13">
      <c r="F103" s="90">
        <v>100</v>
      </c>
      <c r="G103" s="122"/>
      <c r="H103" s="122"/>
      <c r="L103" s="50"/>
      <c r="M103" s="123"/>
    </row>
    <row r="104" spans="6:13">
      <c r="F104" s="90">
        <v>101</v>
      </c>
      <c r="G104" s="122"/>
      <c r="H104" s="122"/>
      <c r="L104" s="50"/>
      <c r="M104" s="123"/>
    </row>
    <row r="105" spans="6:13">
      <c r="F105" s="90">
        <v>102</v>
      </c>
      <c r="G105" s="122"/>
      <c r="H105" s="122"/>
      <c r="L105" s="50"/>
      <c r="M105" s="123"/>
    </row>
    <row r="106" spans="6:13">
      <c r="F106" s="90">
        <v>103</v>
      </c>
      <c r="G106" s="122"/>
      <c r="H106" s="122"/>
      <c r="L106" s="50"/>
      <c r="M106" s="123"/>
    </row>
    <row r="107" spans="6:13">
      <c r="F107" s="90">
        <v>104</v>
      </c>
      <c r="G107" s="122"/>
      <c r="H107" s="122"/>
      <c r="L107" s="50"/>
      <c r="M107" s="123"/>
    </row>
    <row r="108" spans="6:13">
      <c r="F108" s="90">
        <v>105</v>
      </c>
      <c r="G108" s="122"/>
      <c r="H108" s="122"/>
      <c r="L108" s="50"/>
      <c r="M108" s="123"/>
    </row>
    <row r="109" spans="6:13">
      <c r="F109" s="90">
        <v>106</v>
      </c>
      <c r="G109" s="122"/>
      <c r="H109" s="122"/>
      <c r="L109" s="50"/>
      <c r="M109" s="123"/>
    </row>
    <row r="110" spans="6:13">
      <c r="F110" s="90">
        <v>107</v>
      </c>
      <c r="G110" s="122"/>
      <c r="H110" s="122"/>
      <c r="L110" s="50"/>
      <c r="M110" s="123"/>
    </row>
    <row r="111" spans="6:13">
      <c r="F111" s="90">
        <v>108</v>
      </c>
      <c r="G111" s="122"/>
      <c r="H111" s="122"/>
      <c r="L111" s="50"/>
      <c r="M111" s="123"/>
    </row>
    <row r="112" spans="6:13">
      <c r="F112" s="90">
        <v>109</v>
      </c>
      <c r="G112" s="122"/>
      <c r="H112" s="122"/>
      <c r="L112" s="50"/>
      <c r="M112" s="123"/>
    </row>
    <row r="113" spans="6:13">
      <c r="F113" s="90">
        <v>110</v>
      </c>
      <c r="G113" s="122"/>
      <c r="H113" s="122"/>
      <c r="L113" s="50"/>
      <c r="M113" s="123"/>
    </row>
    <row r="114" spans="6:13">
      <c r="F114" s="90">
        <v>111</v>
      </c>
      <c r="G114" s="122"/>
      <c r="H114" s="122"/>
      <c r="L114" s="50"/>
      <c r="M114" s="123"/>
    </row>
    <row r="115" spans="6:13">
      <c r="F115" s="90">
        <v>112</v>
      </c>
      <c r="G115" s="122"/>
      <c r="H115" s="122"/>
      <c r="L115" s="50"/>
      <c r="M115" s="123"/>
    </row>
    <row r="116" spans="6:13">
      <c r="F116" s="90">
        <v>113</v>
      </c>
      <c r="G116" s="122"/>
      <c r="H116" s="122"/>
      <c r="L116" s="50"/>
      <c r="M116" s="123"/>
    </row>
    <row r="117" spans="6:13">
      <c r="F117" s="90">
        <v>114</v>
      </c>
      <c r="G117" s="122"/>
      <c r="H117" s="122"/>
      <c r="L117" s="50"/>
      <c r="M117" s="123"/>
    </row>
    <row r="118" spans="6:13">
      <c r="F118" s="90">
        <v>115</v>
      </c>
      <c r="G118" s="122"/>
      <c r="H118" s="122"/>
      <c r="L118" s="50"/>
      <c r="M118" s="123"/>
    </row>
    <row r="119" spans="6:13">
      <c r="F119" s="90">
        <v>116</v>
      </c>
      <c r="G119" s="122"/>
      <c r="H119" s="122"/>
      <c r="L119" s="50"/>
      <c r="M119" s="123"/>
    </row>
    <row r="120" spans="6:13">
      <c r="F120" s="90">
        <v>117</v>
      </c>
      <c r="G120" s="122"/>
      <c r="H120" s="122"/>
      <c r="L120" s="50"/>
      <c r="M120" s="123"/>
    </row>
    <row r="121" spans="6:13">
      <c r="F121" s="90">
        <v>118</v>
      </c>
      <c r="G121" s="122"/>
      <c r="H121" s="122"/>
      <c r="L121" s="50"/>
      <c r="M121" s="123"/>
    </row>
    <row r="122" spans="6:13">
      <c r="F122" s="90">
        <v>119</v>
      </c>
      <c r="G122" s="122"/>
      <c r="H122" s="122"/>
      <c r="L122" s="50"/>
      <c r="M122" s="123"/>
    </row>
    <row r="123" spans="6:13">
      <c r="F123" s="90">
        <v>120</v>
      </c>
      <c r="G123" s="122"/>
      <c r="H123" s="122"/>
      <c r="L123" s="50"/>
      <c r="M123" s="123"/>
    </row>
    <row r="124" spans="6:13">
      <c r="F124" s="90">
        <v>121</v>
      </c>
      <c r="G124" s="122"/>
      <c r="H124" s="122"/>
      <c r="L124" s="50"/>
      <c r="M124" s="123"/>
    </row>
    <row r="125" spans="6:13">
      <c r="F125" s="90">
        <v>122</v>
      </c>
      <c r="G125" s="122"/>
      <c r="H125" s="122"/>
      <c r="L125" s="50"/>
      <c r="M125" s="123"/>
    </row>
    <row r="126" spans="6:13">
      <c r="F126" s="90">
        <v>123</v>
      </c>
      <c r="G126" s="122"/>
      <c r="H126" s="122"/>
      <c r="L126" s="50"/>
      <c r="M126" s="123"/>
    </row>
    <row r="127" spans="6:13">
      <c r="F127" s="90">
        <v>124</v>
      </c>
      <c r="G127" s="122"/>
      <c r="H127" s="122"/>
      <c r="L127" s="50"/>
      <c r="M127" s="123"/>
    </row>
    <row r="128" spans="6:13">
      <c r="F128" s="90">
        <v>125</v>
      </c>
      <c r="G128" s="122"/>
      <c r="H128" s="122"/>
      <c r="L128" s="50"/>
      <c r="M128" s="123"/>
    </row>
    <row r="129" spans="6:13">
      <c r="F129" s="90">
        <v>126</v>
      </c>
      <c r="G129" s="122"/>
      <c r="H129" s="122"/>
      <c r="L129" s="50"/>
      <c r="M129" s="123"/>
    </row>
    <row r="130" spans="6:13">
      <c r="F130" s="90">
        <v>127</v>
      </c>
      <c r="G130" s="122"/>
      <c r="H130" s="122"/>
      <c r="L130" s="50"/>
      <c r="M130" s="123"/>
    </row>
    <row r="131" spans="6:13">
      <c r="F131" s="90">
        <v>128</v>
      </c>
      <c r="G131" s="122"/>
      <c r="H131" s="122"/>
      <c r="L131" s="50"/>
      <c r="M131" s="123"/>
    </row>
    <row r="132" spans="6:13">
      <c r="F132" s="90">
        <v>129</v>
      </c>
      <c r="G132" s="122"/>
      <c r="H132" s="122"/>
      <c r="L132" s="50"/>
      <c r="M132" s="123"/>
    </row>
    <row r="133" spans="6:13">
      <c r="F133" s="90">
        <v>130</v>
      </c>
      <c r="G133" s="122"/>
      <c r="H133" s="122"/>
      <c r="L133" s="50"/>
      <c r="M133" s="123"/>
    </row>
    <row r="134" spans="6:13">
      <c r="F134" s="90">
        <v>131</v>
      </c>
      <c r="G134" s="122"/>
      <c r="H134" s="122"/>
      <c r="L134" s="50"/>
      <c r="M134" s="123"/>
    </row>
    <row r="135" spans="6:13">
      <c r="F135" s="90">
        <v>132</v>
      </c>
      <c r="G135" s="122"/>
      <c r="H135" s="122"/>
      <c r="L135" s="50"/>
      <c r="M135" s="123"/>
    </row>
    <row r="136" spans="6:13">
      <c r="F136" s="90">
        <v>133</v>
      </c>
      <c r="G136" s="122"/>
      <c r="H136" s="122"/>
      <c r="L136" s="50"/>
      <c r="M136" s="123"/>
    </row>
    <row r="137" spans="6:13">
      <c r="F137" s="90">
        <v>134</v>
      </c>
      <c r="G137" s="122"/>
      <c r="H137" s="122"/>
      <c r="L137" s="50"/>
      <c r="M137" s="123"/>
    </row>
    <row r="138" spans="6:13">
      <c r="F138" s="90">
        <v>135</v>
      </c>
      <c r="G138" s="122"/>
      <c r="H138" s="122"/>
      <c r="L138" s="50"/>
      <c r="M138" s="123"/>
    </row>
    <row r="139" spans="6:13">
      <c r="F139" s="90">
        <v>136</v>
      </c>
      <c r="G139" s="122"/>
      <c r="H139" s="122"/>
      <c r="L139" s="50"/>
      <c r="M139" s="123"/>
    </row>
    <row r="140" spans="6:13">
      <c r="F140" s="90">
        <v>137</v>
      </c>
      <c r="G140" s="122"/>
      <c r="H140" s="122"/>
      <c r="L140" s="50"/>
      <c r="M140" s="123"/>
    </row>
    <row r="141" spans="6:13">
      <c r="F141" s="90">
        <v>138</v>
      </c>
      <c r="G141" s="122"/>
      <c r="H141" s="122"/>
      <c r="L141" s="50"/>
      <c r="M141" s="123"/>
    </row>
    <row r="142" spans="6:13">
      <c r="F142" s="90">
        <v>139</v>
      </c>
      <c r="G142" s="122"/>
      <c r="H142" s="122"/>
      <c r="L142" s="50"/>
      <c r="M142" s="123"/>
    </row>
    <row r="143" spans="6:13">
      <c r="F143" s="90">
        <v>140</v>
      </c>
      <c r="G143" s="122"/>
      <c r="H143" s="122"/>
      <c r="L143" s="50"/>
      <c r="M143" s="123"/>
    </row>
    <row r="144" spans="6:13">
      <c r="F144" s="90">
        <v>141</v>
      </c>
      <c r="G144" s="122"/>
      <c r="H144" s="122"/>
      <c r="L144" s="50"/>
      <c r="M144" s="123"/>
    </row>
    <row r="145" spans="6:13">
      <c r="F145" s="90">
        <v>142</v>
      </c>
      <c r="G145" s="122"/>
      <c r="H145" s="122"/>
      <c r="L145" s="50"/>
      <c r="M145" s="123"/>
    </row>
    <row r="146" spans="6:13">
      <c r="F146" s="90">
        <v>143</v>
      </c>
      <c r="G146" s="122"/>
      <c r="H146" s="122"/>
      <c r="L146" s="50"/>
      <c r="M146" s="123"/>
    </row>
    <row r="147" spans="6:13">
      <c r="F147" s="90">
        <v>144</v>
      </c>
      <c r="G147" s="122"/>
      <c r="H147" s="122"/>
      <c r="L147" s="50"/>
      <c r="M147" s="123"/>
    </row>
    <row r="148" spans="6:13">
      <c r="F148" s="90">
        <v>145</v>
      </c>
      <c r="G148" s="122"/>
      <c r="H148" s="122"/>
      <c r="L148" s="50"/>
      <c r="M148" s="123"/>
    </row>
    <row r="149" spans="6:13">
      <c r="F149" s="90">
        <v>146</v>
      </c>
      <c r="G149" s="122"/>
      <c r="H149" s="122"/>
      <c r="L149" s="50"/>
      <c r="M149" s="123"/>
    </row>
    <row r="150" spans="6:13">
      <c r="F150" s="90">
        <v>147</v>
      </c>
      <c r="G150" s="122"/>
      <c r="H150" s="122"/>
      <c r="L150" s="50"/>
      <c r="M150" s="123"/>
    </row>
    <row r="151" spans="6:13">
      <c r="F151" s="90">
        <v>148</v>
      </c>
      <c r="G151" s="122"/>
      <c r="H151" s="122"/>
      <c r="L151" s="50"/>
      <c r="M151" s="123"/>
    </row>
    <row r="152" spans="6:13">
      <c r="F152" s="90">
        <v>149</v>
      </c>
      <c r="G152" s="122"/>
      <c r="H152" s="122"/>
      <c r="L152" s="50"/>
      <c r="M152" s="123"/>
    </row>
    <row r="153" spans="6:13">
      <c r="F153" s="90">
        <v>150</v>
      </c>
      <c r="G153" s="122"/>
      <c r="H153" s="122"/>
      <c r="L153" s="50"/>
      <c r="M153" s="123"/>
    </row>
    <row r="154" spans="6:13">
      <c r="F154" s="90">
        <v>151</v>
      </c>
      <c r="G154" s="122"/>
      <c r="H154" s="122"/>
      <c r="L154" s="50"/>
      <c r="M154" s="123"/>
    </row>
    <row r="155" spans="6:13">
      <c r="F155" s="90">
        <v>152</v>
      </c>
      <c r="G155" s="122"/>
      <c r="H155" s="122"/>
      <c r="L155" s="50"/>
      <c r="M155" s="123"/>
    </row>
    <row r="156" spans="6:13">
      <c r="F156" s="90">
        <v>153</v>
      </c>
      <c r="G156" s="122"/>
      <c r="H156" s="122"/>
      <c r="L156" s="50"/>
      <c r="M156" s="123"/>
    </row>
    <row r="157" spans="6:13">
      <c r="F157" s="90">
        <v>154</v>
      </c>
      <c r="G157" s="122"/>
      <c r="H157" s="122"/>
      <c r="L157" s="50"/>
      <c r="M157" s="123"/>
    </row>
    <row r="158" spans="6:13">
      <c r="F158" s="90">
        <v>155</v>
      </c>
      <c r="G158" s="122"/>
      <c r="H158" s="122"/>
      <c r="L158" s="50"/>
      <c r="M158" s="123"/>
    </row>
    <row r="159" spans="6:13">
      <c r="F159" s="90">
        <v>156</v>
      </c>
      <c r="G159" s="122"/>
      <c r="H159" s="122"/>
      <c r="L159" s="50"/>
      <c r="M159" s="123"/>
    </row>
    <row r="160" spans="6:13">
      <c r="F160" s="90">
        <v>157</v>
      </c>
      <c r="G160" s="122"/>
      <c r="H160" s="122"/>
      <c r="L160" s="50"/>
      <c r="M160" s="123"/>
    </row>
    <row r="161" spans="6:13">
      <c r="F161" s="90">
        <v>158</v>
      </c>
      <c r="G161" s="122"/>
      <c r="H161" s="122"/>
      <c r="L161" s="50"/>
      <c r="M161" s="123"/>
    </row>
    <row r="162" spans="6:13">
      <c r="F162" s="90">
        <v>159</v>
      </c>
      <c r="G162" s="122"/>
      <c r="H162" s="122"/>
      <c r="L162" s="50"/>
      <c r="M162" s="123"/>
    </row>
    <row r="163" spans="6:13">
      <c r="F163" s="90">
        <v>160</v>
      </c>
      <c r="G163" s="122"/>
      <c r="H163" s="122"/>
      <c r="L163" s="50"/>
      <c r="M163" s="123"/>
    </row>
    <row r="164" spans="6:13">
      <c r="F164" s="90">
        <v>161</v>
      </c>
      <c r="G164" s="122"/>
      <c r="H164" s="122"/>
      <c r="L164" s="50"/>
      <c r="M164" s="123"/>
    </row>
    <row r="165" spans="6:13">
      <c r="F165" s="90">
        <v>162</v>
      </c>
      <c r="G165" s="122"/>
      <c r="H165" s="122"/>
      <c r="L165" s="50"/>
      <c r="M165" s="123"/>
    </row>
    <row r="166" spans="6:13">
      <c r="F166" s="90">
        <v>163</v>
      </c>
      <c r="G166" s="122"/>
      <c r="H166" s="122"/>
      <c r="L166" s="50"/>
      <c r="M166" s="123"/>
    </row>
    <row r="167" spans="6:13">
      <c r="F167" s="90">
        <v>164</v>
      </c>
      <c r="G167" s="122"/>
      <c r="H167" s="122"/>
      <c r="L167" s="50"/>
      <c r="M167" s="123"/>
    </row>
    <row r="168" spans="6:13">
      <c r="F168" s="90">
        <v>165</v>
      </c>
      <c r="G168" s="122"/>
      <c r="H168" s="122"/>
      <c r="L168" s="50"/>
      <c r="M168" s="123"/>
    </row>
    <row r="169" spans="6:13">
      <c r="F169" s="90">
        <v>166</v>
      </c>
      <c r="G169" s="122"/>
      <c r="H169" s="122"/>
      <c r="L169" s="50"/>
      <c r="M169" s="123"/>
    </row>
    <row r="170" spans="6:13">
      <c r="F170" s="90">
        <v>167</v>
      </c>
      <c r="G170" s="122"/>
      <c r="H170" s="122"/>
      <c r="L170" s="50"/>
      <c r="M170" s="123"/>
    </row>
    <row r="171" spans="6:13">
      <c r="F171" s="90">
        <v>168</v>
      </c>
      <c r="G171" s="122"/>
      <c r="H171" s="122"/>
      <c r="L171" s="50"/>
      <c r="M171" s="123"/>
    </row>
    <row r="172" spans="6:13">
      <c r="F172" s="90">
        <v>169</v>
      </c>
      <c r="G172" s="123"/>
      <c r="H172" s="123"/>
      <c r="L172" s="50"/>
      <c r="M172" s="123"/>
    </row>
    <row r="173" spans="6:13">
      <c r="F173" s="90">
        <v>170</v>
      </c>
      <c r="G173" s="123"/>
      <c r="H173" s="123"/>
      <c r="L173" s="50"/>
      <c r="M173" s="123"/>
    </row>
    <row r="174" spans="6:13">
      <c r="F174" s="90"/>
      <c r="G174" s="123"/>
      <c r="H174" s="123"/>
      <c r="L174" s="50"/>
      <c r="M174" s="123"/>
    </row>
    <row r="175" spans="6:13">
      <c r="F175" s="90"/>
      <c r="G175" s="123"/>
      <c r="H175" s="123"/>
      <c r="L175" s="50"/>
      <c r="M175" s="123"/>
    </row>
    <row r="176" spans="6:13">
      <c r="F176" s="90"/>
      <c r="G176" s="123"/>
      <c r="H176" s="123"/>
      <c r="L176" s="50"/>
      <c r="M176" s="123"/>
    </row>
    <row r="177" spans="6:13">
      <c r="F177" s="90"/>
      <c r="G177" s="123"/>
      <c r="H177" s="123"/>
      <c r="L177" s="50"/>
      <c r="M177" s="123"/>
    </row>
    <row r="178" spans="6:13">
      <c r="F178" s="90"/>
      <c r="G178" s="123"/>
      <c r="H178" s="123"/>
      <c r="L178" s="50"/>
      <c r="M178" s="123"/>
    </row>
    <row r="179" spans="6:13">
      <c r="F179" s="90"/>
      <c r="G179" s="123"/>
      <c r="H179" s="123"/>
      <c r="L179" s="50"/>
      <c r="M179" s="123"/>
    </row>
    <row r="180" spans="6:13">
      <c r="F180" s="90"/>
      <c r="G180" s="123"/>
      <c r="H180" s="123"/>
      <c r="L180" s="50"/>
      <c r="M180" s="123"/>
    </row>
    <row r="181" spans="6:13">
      <c r="F181" s="90"/>
      <c r="G181" s="123"/>
      <c r="H181" s="123"/>
      <c r="L181" s="50"/>
      <c r="M181" s="123"/>
    </row>
    <row r="182" spans="6:13">
      <c r="F182" s="90"/>
      <c r="L182" s="50"/>
      <c r="M182" s="123"/>
    </row>
    <row r="183" spans="6:13">
      <c r="F183" s="90"/>
      <c r="L183" s="50"/>
      <c r="M183" s="123"/>
    </row>
    <row r="184" spans="6:13">
      <c r="F184" s="90"/>
      <c r="L184" s="50"/>
      <c r="M184" s="123"/>
    </row>
    <row r="185" spans="6:13">
      <c r="F185" s="90"/>
      <c r="L185" s="50"/>
      <c r="M185" s="123"/>
    </row>
    <row r="186" spans="6:13">
      <c r="F186" s="90"/>
      <c r="L186" s="50"/>
      <c r="M186" s="123"/>
    </row>
    <row r="187" spans="6:13">
      <c r="F187" s="90"/>
      <c r="L187" s="50"/>
      <c r="M187" s="123"/>
    </row>
    <row r="188" spans="6:13">
      <c r="F188" s="90"/>
      <c r="L188" s="50"/>
      <c r="M188" s="123"/>
    </row>
    <row r="189" spans="6:13">
      <c r="F189" s="90"/>
      <c r="L189" s="50"/>
      <c r="M189" s="123"/>
    </row>
    <row r="190" spans="6:13">
      <c r="F190" s="90"/>
      <c r="L190" s="50"/>
      <c r="M190" s="123"/>
    </row>
    <row r="191" spans="6:13">
      <c r="F191" s="90"/>
      <c r="L191" s="50"/>
      <c r="M191" s="123"/>
    </row>
    <row r="192" spans="6:13">
      <c r="F192" s="90"/>
      <c r="L192" s="50"/>
      <c r="M192" s="123"/>
    </row>
    <row r="193" spans="6:13">
      <c r="F193" s="90"/>
      <c r="L193" s="50"/>
      <c r="M193" s="123"/>
    </row>
    <row r="194" spans="6:13">
      <c r="F194" s="90"/>
      <c r="L194" s="123"/>
      <c r="M194" s="123"/>
    </row>
    <row r="195" spans="6:13">
      <c r="F195" s="90"/>
      <c r="L195" s="123"/>
      <c r="M195" s="123"/>
    </row>
    <row r="196" spans="6:13">
      <c r="F196" s="90"/>
    </row>
    <row r="197" spans="6:13">
      <c r="F197" s="90"/>
    </row>
    <row r="198" spans="6:13">
      <c r="F198" s="90"/>
    </row>
    <row r="199" spans="6:13">
      <c r="F199" s="90"/>
    </row>
    <row r="200" spans="6:13">
      <c r="F200" s="90"/>
    </row>
    <row r="201" spans="6:13">
      <c r="F201" s="90"/>
    </row>
    <row r="202" spans="6:13">
      <c r="F202" s="90"/>
    </row>
    <row r="203" spans="6:13">
      <c r="F203" s="90"/>
    </row>
    <row r="204" spans="6:13">
      <c r="F204" s="90"/>
    </row>
    <row r="205" spans="6:13">
      <c r="F205" s="90"/>
    </row>
    <row r="206" spans="6:13">
      <c r="F206" s="90"/>
    </row>
    <row r="207" spans="6:13">
      <c r="F207" s="90"/>
    </row>
    <row r="208" spans="6:13">
      <c r="F208" s="90"/>
    </row>
    <row r="209" spans="6:6">
      <c r="F209" s="90"/>
    </row>
    <row r="210" spans="6:6">
      <c r="F210" s="90"/>
    </row>
    <row r="211" spans="6:6">
      <c r="F211" s="90"/>
    </row>
    <row r="212" spans="6:6">
      <c r="F212" s="90"/>
    </row>
    <row r="213" spans="6:6">
      <c r="F213" s="90"/>
    </row>
    <row r="214" spans="6:6">
      <c r="F214" s="90"/>
    </row>
    <row r="215" spans="6:6">
      <c r="F215" s="90"/>
    </row>
    <row r="216" spans="6:6">
      <c r="F216" s="90"/>
    </row>
    <row r="217" spans="6:6">
      <c r="F217" s="90"/>
    </row>
    <row r="218" spans="6:6">
      <c r="F218" s="90"/>
    </row>
    <row r="219" spans="6:6">
      <c r="F219" s="90"/>
    </row>
    <row r="220" spans="6:6">
      <c r="F220" s="90"/>
    </row>
    <row r="221" spans="6:6">
      <c r="F221" s="90"/>
    </row>
    <row r="222" spans="6:6">
      <c r="F222" s="90"/>
    </row>
    <row r="223" spans="6:6">
      <c r="F223" s="90"/>
    </row>
    <row r="224" spans="6:6">
      <c r="F224" s="90"/>
    </row>
    <row r="225" spans="6:6">
      <c r="F225" s="90"/>
    </row>
    <row r="226" spans="6:6">
      <c r="F226" s="90"/>
    </row>
    <row r="227" spans="6:6">
      <c r="F227" s="90"/>
    </row>
    <row r="228" spans="6:6">
      <c r="F228" s="90"/>
    </row>
    <row r="229" spans="6:6">
      <c r="F229" s="90"/>
    </row>
    <row r="230" spans="6:6">
      <c r="F230" s="90"/>
    </row>
    <row r="231" spans="6:6">
      <c r="F231" s="90"/>
    </row>
    <row r="232" spans="6:6">
      <c r="F232" s="90"/>
    </row>
    <row r="233" spans="6:6">
      <c r="F233" s="90"/>
    </row>
    <row r="234" spans="6:6">
      <c r="F234" s="90"/>
    </row>
    <row r="235" spans="6:6">
      <c r="F235" s="90"/>
    </row>
    <row r="236" spans="6:6">
      <c r="F236" s="90"/>
    </row>
    <row r="237" spans="6:6">
      <c r="F237" s="90"/>
    </row>
    <row r="238" spans="6:6">
      <c r="F238" s="90"/>
    </row>
    <row r="239" spans="6:6">
      <c r="F239" s="90"/>
    </row>
    <row r="240" spans="6:6">
      <c r="F240" s="90"/>
    </row>
    <row r="241" spans="6:6">
      <c r="F241" s="90"/>
    </row>
    <row r="242" spans="6:6">
      <c r="F242" s="90"/>
    </row>
    <row r="243" spans="6:6">
      <c r="F243" s="90"/>
    </row>
    <row r="244" spans="6:6">
      <c r="F244" s="90"/>
    </row>
    <row r="245" spans="6:6">
      <c r="F245" s="90"/>
    </row>
    <row r="246" spans="6:6">
      <c r="F246" s="90"/>
    </row>
    <row r="247" spans="6:6">
      <c r="F247" s="90"/>
    </row>
    <row r="248" spans="6:6">
      <c r="F248" s="90"/>
    </row>
    <row r="249" spans="6:6">
      <c r="F249" s="90"/>
    </row>
    <row r="250" spans="6:6">
      <c r="F250" s="90"/>
    </row>
    <row r="251" spans="6:6">
      <c r="F251" s="90"/>
    </row>
    <row r="252" spans="6:6">
      <c r="F252" s="90"/>
    </row>
    <row r="253" spans="6:6">
      <c r="F253" s="90"/>
    </row>
    <row r="254" spans="6:6">
      <c r="F254" s="90"/>
    </row>
    <row r="255" spans="6:6">
      <c r="F255" s="90"/>
    </row>
    <row r="256" spans="6:6">
      <c r="F256" s="90"/>
    </row>
    <row r="257" spans="6:6">
      <c r="F257" s="90"/>
    </row>
    <row r="258" spans="6:6">
      <c r="F258" s="90"/>
    </row>
    <row r="259" spans="6:6">
      <c r="F259" s="90"/>
    </row>
    <row r="260" spans="6:6">
      <c r="F260" s="90"/>
    </row>
    <row r="261" spans="6:6">
      <c r="F261" s="90"/>
    </row>
    <row r="262" spans="6:6">
      <c r="F262" s="90"/>
    </row>
    <row r="263" spans="6:6">
      <c r="F263" s="90"/>
    </row>
    <row r="264" spans="6:6">
      <c r="F264" s="90"/>
    </row>
    <row r="265" spans="6:6">
      <c r="F265" s="90"/>
    </row>
    <row r="266" spans="6:6">
      <c r="F266" s="90"/>
    </row>
    <row r="267" spans="6:6">
      <c r="F267" s="90"/>
    </row>
    <row r="268" spans="6:6">
      <c r="F268" s="90"/>
    </row>
    <row r="269" spans="6:6">
      <c r="F269" s="90"/>
    </row>
    <row r="270" spans="6:6">
      <c r="F270" s="90"/>
    </row>
    <row r="271" spans="6:6">
      <c r="F271" s="90"/>
    </row>
    <row r="272" spans="6:6">
      <c r="F272" s="90"/>
    </row>
    <row r="273" spans="6:6">
      <c r="F273" s="90"/>
    </row>
    <row r="274" spans="6:6">
      <c r="F274" s="90"/>
    </row>
    <row r="275" spans="6:6">
      <c r="F275" s="90"/>
    </row>
    <row r="276" spans="6:6">
      <c r="F276" s="90"/>
    </row>
    <row r="277" spans="6:6">
      <c r="F277" s="90"/>
    </row>
    <row r="278" spans="6:6">
      <c r="F278" s="90"/>
    </row>
    <row r="279" spans="6:6">
      <c r="F279" s="90"/>
    </row>
    <row r="280" spans="6:6">
      <c r="F280" s="90"/>
    </row>
    <row r="281" spans="6:6">
      <c r="F281" s="90"/>
    </row>
    <row r="282" spans="6:6">
      <c r="F282" s="90"/>
    </row>
    <row r="283" spans="6:6">
      <c r="F283" s="90"/>
    </row>
    <row r="284" spans="6:6">
      <c r="F284" s="90"/>
    </row>
    <row r="285" spans="6:6">
      <c r="F285" s="90"/>
    </row>
    <row r="286" spans="6:6">
      <c r="F286" s="90"/>
    </row>
    <row r="287" spans="6:6">
      <c r="F287" s="90"/>
    </row>
    <row r="288" spans="6:6">
      <c r="F288" s="90"/>
    </row>
    <row r="289" spans="6:6">
      <c r="F289" s="90"/>
    </row>
    <row r="290" spans="6:6">
      <c r="F290" s="90"/>
    </row>
    <row r="291" spans="6:6">
      <c r="F291" s="90"/>
    </row>
    <row r="292" spans="6:6">
      <c r="F292" s="90"/>
    </row>
    <row r="293" spans="6:6">
      <c r="F293" s="90"/>
    </row>
    <row r="294" spans="6:6">
      <c r="F294" s="90"/>
    </row>
    <row r="295" spans="6:6">
      <c r="F295" s="90"/>
    </row>
    <row r="296" spans="6:6">
      <c r="F296" s="90"/>
    </row>
    <row r="297" spans="6:6">
      <c r="F297" s="90"/>
    </row>
    <row r="298" spans="6:6">
      <c r="F298" s="90"/>
    </row>
    <row r="299" spans="6:6">
      <c r="F299" s="90"/>
    </row>
    <row r="300" spans="6:6">
      <c r="F300" s="90"/>
    </row>
    <row r="301" spans="6:6">
      <c r="F301" s="90"/>
    </row>
    <row r="302" spans="6:6">
      <c r="F302" s="90"/>
    </row>
    <row r="303" spans="6:6">
      <c r="F303" s="90"/>
    </row>
    <row r="304" spans="6:6">
      <c r="F304" s="90"/>
    </row>
    <row r="305" spans="6:6">
      <c r="F305" s="90"/>
    </row>
    <row r="306" spans="6:6">
      <c r="F306" s="90"/>
    </row>
    <row r="307" spans="6:6">
      <c r="F307" s="90"/>
    </row>
    <row r="308" spans="6:6">
      <c r="F308" s="90"/>
    </row>
    <row r="309" spans="6:6">
      <c r="F309" s="90"/>
    </row>
    <row r="310" spans="6:6">
      <c r="F310" s="90"/>
    </row>
    <row r="311" spans="6:6">
      <c r="F311" s="90"/>
    </row>
    <row r="312" spans="6:6">
      <c r="F312" s="90"/>
    </row>
    <row r="313" spans="6:6">
      <c r="F313" s="90"/>
    </row>
    <row r="314" spans="6:6">
      <c r="F314" s="90"/>
    </row>
    <row r="315" spans="6:6">
      <c r="F315" s="90"/>
    </row>
    <row r="316" spans="6:6">
      <c r="F316" s="90"/>
    </row>
    <row r="317" spans="6:6">
      <c r="F317" s="90"/>
    </row>
    <row r="318" spans="6:6">
      <c r="F318" s="90"/>
    </row>
    <row r="319" spans="6:6">
      <c r="F319" s="90"/>
    </row>
    <row r="320" spans="6:6">
      <c r="F320" s="90"/>
    </row>
    <row r="321" spans="6:6">
      <c r="F321" s="90"/>
    </row>
    <row r="322" spans="6:6">
      <c r="F322" s="90"/>
    </row>
    <row r="323" spans="6:6">
      <c r="F323" s="90"/>
    </row>
    <row r="324" spans="6:6">
      <c r="F324" s="90"/>
    </row>
    <row r="325" spans="6:6">
      <c r="F325" s="90"/>
    </row>
    <row r="326" spans="6:6">
      <c r="F326" s="90"/>
    </row>
    <row r="327" spans="6:6">
      <c r="F327" s="90"/>
    </row>
    <row r="328" spans="6:6">
      <c r="F328" s="90"/>
    </row>
    <row r="329" spans="6:6">
      <c r="F329" s="90"/>
    </row>
    <row r="330" spans="6:6">
      <c r="F330" s="90"/>
    </row>
    <row r="331" spans="6:6">
      <c r="F331" s="90"/>
    </row>
    <row r="332" spans="6:6">
      <c r="F332" s="90"/>
    </row>
    <row r="333" spans="6:6">
      <c r="F333" s="90"/>
    </row>
    <row r="334" spans="6:6">
      <c r="F334" s="90"/>
    </row>
    <row r="335" spans="6:6">
      <c r="F335" s="90"/>
    </row>
    <row r="336" spans="6:6">
      <c r="F336" s="90"/>
    </row>
    <row r="337" spans="6:6">
      <c r="F337" s="90"/>
    </row>
    <row r="338" spans="6:6">
      <c r="F338" s="90"/>
    </row>
    <row r="339" spans="6:6">
      <c r="F339" s="90"/>
    </row>
    <row r="340" spans="6:6">
      <c r="F340" s="90"/>
    </row>
    <row r="341" spans="6:6">
      <c r="F341" s="90"/>
    </row>
    <row r="342" spans="6:6">
      <c r="F342" s="90"/>
    </row>
    <row r="343" spans="6:6">
      <c r="F343" s="90"/>
    </row>
    <row r="344" spans="6:6">
      <c r="F344" s="90"/>
    </row>
    <row r="345" spans="6:6">
      <c r="F345" s="90"/>
    </row>
    <row r="346" spans="6:6">
      <c r="F346" s="90"/>
    </row>
    <row r="347" spans="6:6">
      <c r="F347" s="90"/>
    </row>
    <row r="348" spans="6:6">
      <c r="F348" s="90"/>
    </row>
    <row r="349" spans="6:6">
      <c r="F349" s="90"/>
    </row>
    <row r="350" spans="6:6">
      <c r="F350" s="90"/>
    </row>
    <row r="351" spans="6:6">
      <c r="F351" s="90"/>
    </row>
    <row r="352" spans="6:6">
      <c r="F352" s="90"/>
    </row>
    <row r="353" spans="6:6">
      <c r="F353" s="90"/>
    </row>
    <row r="354" spans="6:6">
      <c r="F354" s="90"/>
    </row>
    <row r="355" spans="6:6">
      <c r="F355" s="90"/>
    </row>
    <row r="356" spans="6:6">
      <c r="F356" s="90"/>
    </row>
    <row r="357" spans="6:6">
      <c r="F357" s="90"/>
    </row>
    <row r="358" spans="6:6">
      <c r="F358" s="90"/>
    </row>
    <row r="359" spans="6:6">
      <c r="F359" s="90"/>
    </row>
    <row r="360" spans="6:6">
      <c r="F360" s="90"/>
    </row>
    <row r="361" spans="6:6">
      <c r="F361" s="90"/>
    </row>
    <row r="362" spans="6:6">
      <c r="F362" s="90"/>
    </row>
    <row r="363" spans="6:6">
      <c r="F363" s="90"/>
    </row>
    <row r="364" spans="6:6">
      <c r="F364" s="90"/>
    </row>
    <row r="365" spans="6:6">
      <c r="F365" s="90"/>
    </row>
    <row r="366" spans="6:6">
      <c r="F366" s="90"/>
    </row>
    <row r="367" spans="6:6">
      <c r="F367" s="90"/>
    </row>
    <row r="368" spans="6:6">
      <c r="F368" s="90"/>
    </row>
    <row r="369" spans="6:6">
      <c r="F369" s="90"/>
    </row>
    <row r="370" spans="6:6">
      <c r="F370" s="90"/>
    </row>
    <row r="371" spans="6:6">
      <c r="F371" s="90"/>
    </row>
    <row r="372" spans="6:6">
      <c r="F372" s="90"/>
    </row>
    <row r="373" spans="6:6">
      <c r="F373" s="90"/>
    </row>
    <row r="374" spans="6:6">
      <c r="F374" s="90"/>
    </row>
    <row r="375" spans="6:6">
      <c r="F375" s="90"/>
    </row>
    <row r="376" spans="6:6">
      <c r="F376" s="90"/>
    </row>
    <row r="377" spans="6:6">
      <c r="F377" s="90"/>
    </row>
    <row r="378" spans="6:6">
      <c r="F378" s="90"/>
    </row>
    <row r="379" spans="6:6">
      <c r="F379" s="90"/>
    </row>
    <row r="380" spans="6:6">
      <c r="F380" s="90"/>
    </row>
    <row r="381" spans="6:6">
      <c r="F381" s="90"/>
    </row>
    <row r="382" spans="6:6">
      <c r="F382" s="90"/>
    </row>
    <row r="383" spans="6:6">
      <c r="F383" s="90"/>
    </row>
    <row r="384" spans="6:6">
      <c r="F384" s="90"/>
    </row>
    <row r="385" spans="6:6">
      <c r="F385" s="90"/>
    </row>
    <row r="386" spans="6:6">
      <c r="F386" s="90"/>
    </row>
    <row r="387" spans="6:6">
      <c r="F387" s="90"/>
    </row>
    <row r="388" spans="6:6">
      <c r="F388" s="90"/>
    </row>
    <row r="389" spans="6:6">
      <c r="F389" s="90"/>
    </row>
    <row r="390" spans="6:6">
      <c r="F390" s="90"/>
    </row>
    <row r="391" spans="6:6">
      <c r="F391" s="90"/>
    </row>
    <row r="392" spans="6:6">
      <c r="F392" s="90"/>
    </row>
    <row r="393" spans="6:6">
      <c r="F393" s="90"/>
    </row>
    <row r="394" spans="6:6">
      <c r="F394" s="90"/>
    </row>
    <row r="395" spans="6:6">
      <c r="F395" s="90"/>
    </row>
    <row r="396" spans="6:6">
      <c r="F396" s="90"/>
    </row>
    <row r="397" spans="6:6">
      <c r="F397" s="90"/>
    </row>
    <row r="398" spans="6:6">
      <c r="F398" s="90"/>
    </row>
    <row r="399" spans="6:6">
      <c r="F399" s="90"/>
    </row>
    <row r="400" spans="6:6">
      <c r="F400" s="90"/>
    </row>
    <row r="401" spans="6:6">
      <c r="F401" s="90"/>
    </row>
    <row r="402" spans="6:6">
      <c r="F402" s="90"/>
    </row>
    <row r="403" spans="6:6">
      <c r="F403" s="90"/>
    </row>
    <row r="404" spans="6:6">
      <c r="F404" s="90"/>
    </row>
    <row r="405" spans="6:6">
      <c r="F405" s="90"/>
    </row>
    <row r="406" spans="6:6">
      <c r="F406" s="90"/>
    </row>
    <row r="407" spans="6:6">
      <c r="F407" s="90"/>
    </row>
    <row r="408" spans="6:6">
      <c r="F408" s="90"/>
    </row>
    <row r="409" spans="6:6">
      <c r="F409" s="90"/>
    </row>
    <row r="410" spans="6:6">
      <c r="F410" s="90"/>
    </row>
    <row r="411" spans="6:6">
      <c r="F411" s="90"/>
    </row>
    <row r="412" spans="6:6">
      <c r="F412" s="90"/>
    </row>
    <row r="413" spans="6:6">
      <c r="F413" s="90"/>
    </row>
    <row r="414" spans="6:6">
      <c r="F414" s="90"/>
    </row>
    <row r="415" spans="6:6">
      <c r="F415" s="90"/>
    </row>
    <row r="416" spans="6:6">
      <c r="F416" s="90"/>
    </row>
    <row r="417" spans="6:6">
      <c r="F417" s="90"/>
    </row>
    <row r="418" spans="6:6">
      <c r="F418" s="90"/>
    </row>
    <row r="419" spans="6:6">
      <c r="F419" s="90"/>
    </row>
    <row r="420" spans="6:6">
      <c r="F420" s="90"/>
    </row>
    <row r="421" spans="6:6">
      <c r="F421" s="90"/>
    </row>
    <row r="422" spans="6:6">
      <c r="F422" s="90"/>
    </row>
    <row r="423" spans="6:6">
      <c r="F423" s="90"/>
    </row>
    <row r="424" spans="6:6">
      <c r="F424" s="90"/>
    </row>
    <row r="425" spans="6:6">
      <c r="F425" s="90"/>
    </row>
    <row r="426" spans="6:6">
      <c r="F426" s="90"/>
    </row>
    <row r="427" spans="6:6">
      <c r="F427" s="90"/>
    </row>
    <row r="428" spans="6:6">
      <c r="F428" s="90"/>
    </row>
    <row r="429" spans="6:6">
      <c r="F429" s="90"/>
    </row>
    <row r="430" spans="6:6">
      <c r="F430" s="90"/>
    </row>
    <row r="431" spans="6:6">
      <c r="F431" s="90"/>
    </row>
    <row r="432" spans="6:6">
      <c r="F432" s="90"/>
    </row>
    <row r="433" spans="6:6">
      <c r="F433" s="90"/>
    </row>
    <row r="434" spans="6:6">
      <c r="F434" s="90"/>
    </row>
    <row r="435" spans="6:6">
      <c r="F435" s="90"/>
    </row>
    <row r="436" spans="6:6">
      <c r="F436" s="90"/>
    </row>
    <row r="437" spans="6:6">
      <c r="F437" s="90"/>
    </row>
    <row r="438" spans="6:6">
      <c r="F438" s="90"/>
    </row>
    <row r="439" spans="6:6">
      <c r="F439" s="90"/>
    </row>
    <row r="440" spans="6:6">
      <c r="F440" s="90"/>
    </row>
    <row r="441" spans="6:6">
      <c r="F441" s="90"/>
    </row>
    <row r="442" spans="6:6">
      <c r="F442" s="90"/>
    </row>
    <row r="443" spans="6:6">
      <c r="F443" s="90"/>
    </row>
    <row r="444" spans="6:6">
      <c r="F444" s="90"/>
    </row>
    <row r="445" spans="6:6">
      <c r="F445" s="90"/>
    </row>
    <row r="446" spans="6:6">
      <c r="F446" s="90"/>
    </row>
    <row r="447" spans="6:6">
      <c r="F447" s="90"/>
    </row>
    <row r="448" spans="6:6">
      <c r="F448" s="90"/>
    </row>
    <row r="449" spans="6:6">
      <c r="F449" s="90"/>
    </row>
    <row r="450" spans="6:6">
      <c r="F450" s="90"/>
    </row>
    <row r="451" spans="6:6">
      <c r="F451" s="90"/>
    </row>
    <row r="452" spans="6:6">
      <c r="F452" s="90"/>
    </row>
    <row r="453" spans="6:6">
      <c r="F453" s="90"/>
    </row>
    <row r="454" spans="6:6">
      <c r="F454" s="90"/>
    </row>
    <row r="455" spans="6:6">
      <c r="F455" s="90"/>
    </row>
    <row r="456" spans="6:6">
      <c r="F456" s="90"/>
    </row>
    <row r="457" spans="6:6">
      <c r="F457" s="90"/>
    </row>
    <row r="458" spans="6:6">
      <c r="F458" s="90"/>
    </row>
    <row r="459" spans="6:6">
      <c r="F459" s="90"/>
    </row>
    <row r="460" spans="6:6">
      <c r="F460" s="90"/>
    </row>
    <row r="461" spans="6:6">
      <c r="F461" s="90"/>
    </row>
    <row r="462" spans="6:6">
      <c r="F462" s="90"/>
    </row>
    <row r="463" spans="6:6">
      <c r="F463" s="90"/>
    </row>
    <row r="464" spans="6:6">
      <c r="F464" s="90"/>
    </row>
    <row r="465" spans="6:6">
      <c r="F465" s="90"/>
    </row>
    <row r="466" spans="6:6">
      <c r="F466" s="90"/>
    </row>
    <row r="467" spans="6:6">
      <c r="F467" s="90"/>
    </row>
    <row r="468" spans="6:6">
      <c r="F468" s="90"/>
    </row>
    <row r="469" spans="6:6">
      <c r="F469" s="90"/>
    </row>
    <row r="470" spans="6:6">
      <c r="F470" s="90"/>
    </row>
    <row r="471" spans="6:6">
      <c r="F471" s="90"/>
    </row>
    <row r="472" spans="6:6">
      <c r="F472" s="90"/>
    </row>
    <row r="473" spans="6:6">
      <c r="F473" s="90"/>
    </row>
    <row r="474" spans="6:6">
      <c r="F474" s="90"/>
    </row>
    <row r="475" spans="6:6">
      <c r="F475" s="90"/>
    </row>
    <row r="476" spans="6:6">
      <c r="F476" s="90"/>
    </row>
    <row r="477" spans="6:6">
      <c r="F477" s="90"/>
    </row>
    <row r="478" spans="6:6">
      <c r="F478" s="90"/>
    </row>
    <row r="479" spans="6:6">
      <c r="F479" s="90"/>
    </row>
    <row r="480" spans="6:6">
      <c r="F480" s="90"/>
    </row>
    <row r="481" spans="6:6">
      <c r="F481" s="90"/>
    </row>
    <row r="482" spans="6:6">
      <c r="F482" s="90"/>
    </row>
    <row r="483" spans="6:6">
      <c r="F483" s="90"/>
    </row>
    <row r="484" spans="6:6">
      <c r="F484" s="90"/>
    </row>
    <row r="485" spans="6:6">
      <c r="F485" s="90"/>
    </row>
    <row r="486" spans="6:6">
      <c r="F486" s="90"/>
    </row>
    <row r="487" spans="6:6">
      <c r="F487" s="90"/>
    </row>
    <row r="488" spans="6:6">
      <c r="F488" s="90"/>
    </row>
    <row r="489" spans="6:6">
      <c r="F489" s="90"/>
    </row>
    <row r="490" spans="6:6">
      <c r="F490" s="90"/>
    </row>
    <row r="491" spans="6:6">
      <c r="F491" s="90"/>
    </row>
    <row r="492" spans="6:6">
      <c r="F492" s="90"/>
    </row>
    <row r="493" spans="6:6">
      <c r="F493" s="90"/>
    </row>
    <row r="494" spans="6:6">
      <c r="F494" s="90"/>
    </row>
    <row r="495" spans="6:6">
      <c r="F495" s="90"/>
    </row>
    <row r="496" spans="6:6">
      <c r="F496" s="90"/>
    </row>
    <row r="497" spans="6:6">
      <c r="F497" s="90"/>
    </row>
    <row r="498" spans="6:6">
      <c r="F498" s="90"/>
    </row>
    <row r="499" spans="6:6">
      <c r="F499" s="90"/>
    </row>
    <row r="500" spans="6:6">
      <c r="F500" s="90"/>
    </row>
    <row r="501" spans="6:6">
      <c r="F501" s="90"/>
    </row>
    <row r="502" spans="6:6">
      <c r="F502" s="90"/>
    </row>
    <row r="503" spans="6:6">
      <c r="F503" s="90"/>
    </row>
    <row r="504" spans="6:6">
      <c r="F504" s="90"/>
    </row>
    <row r="505" spans="6:6">
      <c r="F505" s="90"/>
    </row>
    <row r="506" spans="6:6">
      <c r="F506" s="90"/>
    </row>
    <row r="507" spans="6:6">
      <c r="F507" s="90"/>
    </row>
    <row r="508" spans="6:6">
      <c r="F508" s="90"/>
    </row>
    <row r="509" spans="6:6">
      <c r="F509" s="90"/>
    </row>
    <row r="510" spans="6:6">
      <c r="F510" s="90"/>
    </row>
    <row r="511" spans="6:6">
      <c r="F511" s="90"/>
    </row>
    <row r="512" spans="6:6">
      <c r="F512" s="90"/>
    </row>
    <row r="513" spans="6:6">
      <c r="F513" s="90"/>
    </row>
    <row r="514" spans="6:6">
      <c r="F514" s="90"/>
    </row>
    <row r="515" spans="6:6">
      <c r="F515" s="90"/>
    </row>
    <row r="516" spans="6:6">
      <c r="F516" s="90"/>
    </row>
    <row r="517" spans="6:6">
      <c r="F517" s="90"/>
    </row>
    <row r="518" spans="6:6">
      <c r="F518" s="90"/>
    </row>
    <row r="519" spans="6:6">
      <c r="F519" s="90"/>
    </row>
    <row r="520" spans="6:6">
      <c r="F520" s="90"/>
    </row>
    <row r="521" spans="6:6">
      <c r="F521" s="90"/>
    </row>
    <row r="522" spans="6:6">
      <c r="F522" s="90"/>
    </row>
    <row r="523" spans="6:6">
      <c r="F523" s="90"/>
    </row>
    <row r="524" spans="6:6">
      <c r="F524" s="90"/>
    </row>
    <row r="525" spans="6:6">
      <c r="F525" s="90"/>
    </row>
    <row r="526" spans="6:6">
      <c r="F526" s="90"/>
    </row>
    <row r="527" spans="6:6">
      <c r="F527" s="90"/>
    </row>
    <row r="528" spans="6:6">
      <c r="F528" s="90"/>
    </row>
    <row r="529" spans="6:6">
      <c r="F529" s="90"/>
    </row>
    <row r="530" spans="6:6">
      <c r="F530" s="90"/>
    </row>
    <row r="531" spans="6:6">
      <c r="F531" s="90"/>
    </row>
    <row r="532" spans="6:6">
      <c r="F532" s="90"/>
    </row>
    <row r="533" spans="6:6">
      <c r="F533" s="90"/>
    </row>
    <row r="534" spans="6:6">
      <c r="F534" s="90"/>
    </row>
    <row r="535" spans="6:6">
      <c r="F535" s="90"/>
    </row>
    <row r="536" spans="6:6">
      <c r="F536" s="90"/>
    </row>
    <row r="537" spans="6:6">
      <c r="F537" s="90"/>
    </row>
    <row r="538" spans="6:6">
      <c r="F538" s="90"/>
    </row>
    <row r="539" spans="6:6">
      <c r="F539" s="90"/>
    </row>
    <row r="540" spans="6:6">
      <c r="F540" s="90"/>
    </row>
    <row r="541" spans="6:6">
      <c r="F541" s="90"/>
    </row>
    <row r="542" spans="6:6">
      <c r="F542" s="90"/>
    </row>
    <row r="543" spans="6:6">
      <c r="F543" s="90"/>
    </row>
    <row r="544" spans="6:6">
      <c r="F544" s="90"/>
    </row>
    <row r="545" spans="6:6">
      <c r="F545" s="90"/>
    </row>
    <row r="546" spans="6:6">
      <c r="F546" s="90"/>
    </row>
    <row r="547" spans="6:6">
      <c r="F547" s="90"/>
    </row>
    <row r="548" spans="6:6">
      <c r="F548" s="90"/>
    </row>
    <row r="549" spans="6:6">
      <c r="F549" s="90"/>
    </row>
    <row r="550" spans="6:6">
      <c r="F550" s="90"/>
    </row>
    <row r="551" spans="6:6">
      <c r="F551" s="90"/>
    </row>
    <row r="552" spans="6:6">
      <c r="F552" s="90"/>
    </row>
    <row r="553" spans="6:6">
      <c r="F553" s="90"/>
    </row>
    <row r="554" spans="6:6">
      <c r="F554" s="90"/>
    </row>
    <row r="555" spans="6:6">
      <c r="F555" s="90"/>
    </row>
    <row r="556" spans="6:6">
      <c r="F556" s="90"/>
    </row>
    <row r="557" spans="6:6">
      <c r="F557" s="90"/>
    </row>
    <row r="558" spans="6:6">
      <c r="F558" s="90"/>
    </row>
    <row r="559" spans="6:6">
      <c r="F559" s="90"/>
    </row>
    <row r="560" spans="6:6">
      <c r="F560" s="90"/>
    </row>
    <row r="561" spans="6:6">
      <c r="F561" s="90"/>
    </row>
    <row r="562" spans="6:6">
      <c r="F562" s="90"/>
    </row>
    <row r="563" spans="6:6">
      <c r="F563" s="90"/>
    </row>
    <row r="564" spans="6:6">
      <c r="F564" s="90"/>
    </row>
    <row r="565" spans="6:6">
      <c r="F565" s="90"/>
    </row>
    <row r="566" spans="6:6">
      <c r="F566" s="90"/>
    </row>
    <row r="567" spans="6:6">
      <c r="F567" s="90"/>
    </row>
    <row r="568" spans="6:6">
      <c r="F568" s="90"/>
    </row>
    <row r="569" spans="6:6">
      <c r="F569" s="90"/>
    </row>
    <row r="570" spans="6:6">
      <c r="F570" s="90"/>
    </row>
    <row r="571" spans="6:6">
      <c r="F571" s="90"/>
    </row>
    <row r="572" spans="6:6">
      <c r="F572" s="90"/>
    </row>
    <row r="573" spans="6:6">
      <c r="F573" s="90"/>
    </row>
    <row r="574" spans="6:6">
      <c r="F574" s="90"/>
    </row>
    <row r="575" spans="6:6">
      <c r="F575" s="90"/>
    </row>
    <row r="576" spans="6:6">
      <c r="F576" s="90"/>
    </row>
    <row r="577" spans="6:6">
      <c r="F577" s="90"/>
    </row>
    <row r="578" spans="6:6">
      <c r="F578" s="90"/>
    </row>
    <row r="579" spans="6:6">
      <c r="F579" s="90"/>
    </row>
    <row r="580" spans="6:6">
      <c r="F580" s="90"/>
    </row>
    <row r="581" spans="6:6">
      <c r="F581" s="90"/>
    </row>
    <row r="582" spans="6:6">
      <c r="F582" s="90"/>
    </row>
    <row r="583" spans="6:6">
      <c r="F583" s="90"/>
    </row>
    <row r="584" spans="6:6">
      <c r="F584" s="90"/>
    </row>
    <row r="585" spans="6:6">
      <c r="F585" s="90"/>
    </row>
    <row r="586" spans="6:6">
      <c r="F586" s="90"/>
    </row>
    <row r="587" spans="6:6">
      <c r="F587" s="90"/>
    </row>
    <row r="588" spans="6:6">
      <c r="F588" s="90"/>
    </row>
    <row r="589" spans="6:6">
      <c r="F589" s="90"/>
    </row>
    <row r="590" spans="6:6">
      <c r="F590" s="90"/>
    </row>
    <row r="591" spans="6:6">
      <c r="F591" s="90"/>
    </row>
    <row r="592" spans="6:6">
      <c r="F592" s="90"/>
    </row>
    <row r="593" spans="6:6">
      <c r="F593" s="90"/>
    </row>
    <row r="594" spans="6:6">
      <c r="F594" s="90"/>
    </row>
    <row r="595" spans="6:6">
      <c r="F595" s="90"/>
    </row>
    <row r="596" spans="6:6">
      <c r="F596" s="90"/>
    </row>
    <row r="597" spans="6:6">
      <c r="F597" s="90"/>
    </row>
    <row r="598" spans="6:6">
      <c r="F598" s="90"/>
    </row>
    <row r="599" spans="6:6">
      <c r="F599" s="90"/>
    </row>
    <row r="600" spans="6:6">
      <c r="F600" s="90"/>
    </row>
    <row r="601" spans="6:6">
      <c r="F601" s="90"/>
    </row>
    <row r="602" spans="6:6">
      <c r="F602" s="90"/>
    </row>
    <row r="603" spans="6:6">
      <c r="F603" s="90"/>
    </row>
    <row r="604" spans="6:6">
      <c r="F604" s="90"/>
    </row>
    <row r="605" spans="6:6">
      <c r="F605" s="90"/>
    </row>
    <row r="606" spans="6:6">
      <c r="F606" s="90"/>
    </row>
    <row r="607" spans="6:6">
      <c r="F607" s="90"/>
    </row>
    <row r="608" spans="6:6">
      <c r="F608" s="90"/>
    </row>
    <row r="609" spans="6:6">
      <c r="F609" s="90"/>
    </row>
    <row r="610" spans="6:6">
      <c r="F610" s="90"/>
    </row>
    <row r="611" spans="6:6">
      <c r="F611" s="90"/>
    </row>
    <row r="612" spans="6:6">
      <c r="F612" s="90"/>
    </row>
    <row r="613" spans="6:6">
      <c r="F613" s="90"/>
    </row>
    <row r="614" spans="6:6">
      <c r="F614" s="90"/>
    </row>
    <row r="615" spans="6:6">
      <c r="F615" s="90"/>
    </row>
    <row r="616" spans="6:6">
      <c r="F616" s="90"/>
    </row>
    <row r="617" spans="6:6">
      <c r="F617" s="90"/>
    </row>
    <row r="618" spans="6:6">
      <c r="F618" s="90"/>
    </row>
    <row r="619" spans="6:6">
      <c r="F619" s="90"/>
    </row>
    <row r="620" spans="6:6">
      <c r="F620" s="90"/>
    </row>
    <row r="621" spans="6:6">
      <c r="F621" s="90"/>
    </row>
    <row r="622" spans="6:6">
      <c r="F622" s="90"/>
    </row>
    <row r="623" spans="6:6">
      <c r="F623" s="90"/>
    </row>
    <row r="624" spans="6:6">
      <c r="F624" s="90"/>
    </row>
    <row r="625" spans="6:6">
      <c r="F625" s="90"/>
    </row>
    <row r="626" spans="6:6">
      <c r="F626" s="90"/>
    </row>
    <row r="627" spans="6:6">
      <c r="F627" s="90"/>
    </row>
    <row r="628" spans="6:6">
      <c r="F628" s="90"/>
    </row>
    <row r="629" spans="6:6">
      <c r="F629" s="90"/>
    </row>
    <row r="630" spans="6:6">
      <c r="F630" s="90"/>
    </row>
    <row r="631" spans="6:6">
      <c r="F631" s="90"/>
    </row>
    <row r="632" spans="6:6">
      <c r="F632" s="90"/>
    </row>
    <row r="633" spans="6:6">
      <c r="F633" s="90"/>
    </row>
    <row r="634" spans="6:6">
      <c r="F634" s="90"/>
    </row>
    <row r="635" spans="6:6">
      <c r="F635" s="90"/>
    </row>
    <row r="636" spans="6:6">
      <c r="F636" s="90"/>
    </row>
    <row r="637" spans="6:6">
      <c r="F637" s="90"/>
    </row>
    <row r="638" spans="6:6">
      <c r="F638" s="90"/>
    </row>
    <row r="639" spans="6:6">
      <c r="F639" s="90"/>
    </row>
    <row r="640" spans="6:6">
      <c r="F640" s="90"/>
    </row>
    <row r="641" spans="6:6">
      <c r="F641" s="90"/>
    </row>
    <row r="642" spans="6:6">
      <c r="F642" s="90"/>
    </row>
    <row r="643" spans="6:6">
      <c r="F643" s="90"/>
    </row>
    <row r="644" spans="6:6">
      <c r="F644" s="90"/>
    </row>
    <row r="645" spans="6:6">
      <c r="F645" s="90"/>
    </row>
    <row r="646" spans="6:6">
      <c r="F646" s="90"/>
    </row>
    <row r="647" spans="6:6">
      <c r="F647" s="90"/>
    </row>
    <row r="648" spans="6:6">
      <c r="F648" s="90"/>
    </row>
    <row r="649" spans="6:6">
      <c r="F649" s="90"/>
    </row>
    <row r="650" spans="6:6">
      <c r="F650" s="90"/>
    </row>
    <row r="651" spans="6:6">
      <c r="F651" s="90"/>
    </row>
    <row r="652" spans="6:6">
      <c r="F652" s="90"/>
    </row>
    <row r="653" spans="6:6">
      <c r="F653" s="90"/>
    </row>
    <row r="654" spans="6:6">
      <c r="F654" s="90"/>
    </row>
    <row r="655" spans="6:6">
      <c r="F655" s="90"/>
    </row>
    <row r="656" spans="6:6">
      <c r="F656" s="90"/>
    </row>
    <row r="657" spans="6:6">
      <c r="F657" s="90"/>
    </row>
    <row r="658" spans="6:6">
      <c r="F658" s="90"/>
    </row>
    <row r="659" spans="6:6">
      <c r="F659" s="90"/>
    </row>
    <row r="660" spans="6:6">
      <c r="F660" s="90"/>
    </row>
    <row r="661" spans="6:6">
      <c r="F661" s="90"/>
    </row>
    <row r="662" spans="6:6">
      <c r="F662" s="90"/>
    </row>
    <row r="663" spans="6:6">
      <c r="F663" s="90"/>
    </row>
    <row r="664" spans="6:6">
      <c r="F664" s="90"/>
    </row>
    <row r="665" spans="6:6">
      <c r="F665" s="90"/>
    </row>
    <row r="666" spans="6:6">
      <c r="F666" s="90"/>
    </row>
    <row r="667" spans="6:6">
      <c r="F667" s="90"/>
    </row>
    <row r="668" spans="6:6">
      <c r="F668" s="90"/>
    </row>
    <row r="669" spans="6:6">
      <c r="F669" s="90"/>
    </row>
    <row r="670" spans="6:6">
      <c r="F670" s="90"/>
    </row>
    <row r="671" spans="6:6">
      <c r="F671" s="90"/>
    </row>
    <row r="672" spans="6:6">
      <c r="F672" s="90"/>
    </row>
    <row r="673" spans="6:6">
      <c r="F673" s="90"/>
    </row>
    <row r="674" spans="6:6">
      <c r="F674" s="90"/>
    </row>
    <row r="675" spans="6:6">
      <c r="F675" s="90"/>
    </row>
    <row r="676" spans="6:6">
      <c r="F676" s="90"/>
    </row>
    <row r="677" spans="6:6">
      <c r="F677" s="90"/>
    </row>
    <row r="678" spans="6:6">
      <c r="F678" s="90"/>
    </row>
    <row r="679" spans="6:6">
      <c r="F679" s="90"/>
    </row>
    <row r="680" spans="6:6">
      <c r="F680" s="90"/>
    </row>
    <row r="681" spans="6:6">
      <c r="F681" s="90"/>
    </row>
    <row r="682" spans="6:6">
      <c r="F682" s="90"/>
    </row>
    <row r="683" spans="6:6">
      <c r="F683" s="90"/>
    </row>
    <row r="684" spans="6:6">
      <c r="F684" s="90"/>
    </row>
    <row r="685" spans="6:6">
      <c r="F685" s="90"/>
    </row>
    <row r="686" spans="6:6">
      <c r="F686" s="90"/>
    </row>
    <row r="687" spans="6:6">
      <c r="F687" s="90"/>
    </row>
    <row r="688" spans="6:6">
      <c r="F688" s="90"/>
    </row>
    <row r="689" spans="6:6">
      <c r="F689" s="90"/>
    </row>
    <row r="690" spans="6:6">
      <c r="F690" s="90"/>
    </row>
    <row r="691" spans="6:6">
      <c r="F691" s="90"/>
    </row>
    <row r="692" spans="6:6">
      <c r="F692" s="90"/>
    </row>
    <row r="693" spans="6:6">
      <c r="F693" s="90"/>
    </row>
    <row r="694" spans="6:6">
      <c r="F694" s="90"/>
    </row>
    <row r="695" spans="6:6">
      <c r="F695" s="90"/>
    </row>
    <row r="696" spans="6:6">
      <c r="F696" s="90"/>
    </row>
    <row r="697" spans="6:6">
      <c r="F697" s="90"/>
    </row>
    <row r="698" spans="6:6">
      <c r="F698" s="90"/>
    </row>
    <row r="699" spans="6:6">
      <c r="F699" s="90"/>
    </row>
    <row r="700" spans="6:6">
      <c r="F700" s="90"/>
    </row>
    <row r="701" spans="6:6">
      <c r="F701" s="90"/>
    </row>
    <row r="702" spans="6:6">
      <c r="F702" s="90"/>
    </row>
    <row r="703" spans="6:6">
      <c r="F703" s="90"/>
    </row>
    <row r="704" spans="6:6">
      <c r="F704" s="90"/>
    </row>
    <row r="705" spans="6:6">
      <c r="F705" s="90"/>
    </row>
    <row r="706" spans="6:6">
      <c r="F706" s="90"/>
    </row>
    <row r="707" spans="6:6">
      <c r="F707" s="90"/>
    </row>
    <row r="708" spans="6:6">
      <c r="F708" s="90"/>
    </row>
    <row r="709" spans="6:6">
      <c r="F709" s="90"/>
    </row>
    <row r="710" spans="6:6">
      <c r="F710" s="90"/>
    </row>
    <row r="711" spans="6:6">
      <c r="F711" s="90"/>
    </row>
    <row r="712" spans="6:6">
      <c r="F712" s="90"/>
    </row>
    <row r="713" spans="6:6">
      <c r="F713" s="90"/>
    </row>
    <row r="714" spans="6:6">
      <c r="F714" s="90"/>
    </row>
    <row r="715" spans="6:6">
      <c r="F715" s="90"/>
    </row>
    <row r="716" spans="6:6">
      <c r="F716" s="90"/>
    </row>
    <row r="717" spans="6:6">
      <c r="F717" s="90"/>
    </row>
    <row r="718" spans="6:6">
      <c r="F718" s="90"/>
    </row>
    <row r="719" spans="6:6">
      <c r="F719" s="90"/>
    </row>
    <row r="720" spans="6:6">
      <c r="F720" s="90"/>
    </row>
    <row r="721" spans="6:6">
      <c r="F721" s="90"/>
    </row>
    <row r="722" spans="6:6">
      <c r="F722" s="90"/>
    </row>
    <row r="723" spans="6:6">
      <c r="F723" s="90"/>
    </row>
    <row r="724" spans="6:6">
      <c r="F724" s="90"/>
    </row>
    <row r="725" spans="6:6">
      <c r="F725" s="90"/>
    </row>
    <row r="726" spans="6:6">
      <c r="F726" s="90"/>
    </row>
    <row r="727" spans="6:6">
      <c r="F727" s="90"/>
    </row>
    <row r="728" spans="6:6">
      <c r="F728" s="90"/>
    </row>
    <row r="729" spans="6:6">
      <c r="F729" s="90"/>
    </row>
    <row r="730" spans="6:6">
      <c r="F730" s="90"/>
    </row>
    <row r="731" spans="6:6">
      <c r="F731" s="90"/>
    </row>
    <row r="732" spans="6:6">
      <c r="F732" s="90"/>
    </row>
    <row r="733" spans="6:6">
      <c r="F733" s="90"/>
    </row>
    <row r="734" spans="6:6">
      <c r="F734" s="90"/>
    </row>
    <row r="735" spans="6:6">
      <c r="F735" s="90"/>
    </row>
    <row r="736" spans="6:6">
      <c r="F736" s="90"/>
    </row>
    <row r="737" spans="6:6">
      <c r="F737" s="90"/>
    </row>
    <row r="738" spans="6:6">
      <c r="F738" s="90"/>
    </row>
    <row r="739" spans="6:6">
      <c r="F739" s="90"/>
    </row>
    <row r="740" spans="6:6">
      <c r="F740" s="90"/>
    </row>
    <row r="741" spans="6:6">
      <c r="F741" s="90"/>
    </row>
    <row r="742" spans="6:6">
      <c r="F742" s="90"/>
    </row>
    <row r="743" spans="6:6">
      <c r="F743" s="90"/>
    </row>
    <row r="744" spans="6:6">
      <c r="F744" s="90"/>
    </row>
    <row r="745" spans="6:6">
      <c r="F745" s="90"/>
    </row>
    <row r="746" spans="6:6">
      <c r="F746" s="90"/>
    </row>
    <row r="747" spans="6:6">
      <c r="F747" s="90"/>
    </row>
    <row r="748" spans="6:6">
      <c r="F748" s="90"/>
    </row>
    <row r="749" spans="6:6">
      <c r="F749" s="90"/>
    </row>
    <row r="750" spans="6:6">
      <c r="F750" s="90"/>
    </row>
    <row r="751" spans="6:6">
      <c r="F751" s="90"/>
    </row>
    <row r="752" spans="6:6">
      <c r="F752" s="90"/>
    </row>
    <row r="753" spans="6:6">
      <c r="F753" s="90"/>
    </row>
    <row r="754" spans="6:6">
      <c r="F754" s="90"/>
    </row>
    <row r="755" spans="6:6">
      <c r="F755" s="90"/>
    </row>
    <row r="756" spans="6:6">
      <c r="F756" s="90"/>
    </row>
    <row r="757" spans="6:6">
      <c r="F757" s="90"/>
    </row>
    <row r="758" spans="6:6">
      <c r="F758" s="90"/>
    </row>
    <row r="759" spans="6:6">
      <c r="F759" s="90"/>
    </row>
    <row r="760" spans="6:6">
      <c r="F760" s="90"/>
    </row>
    <row r="761" spans="6:6">
      <c r="F761" s="90"/>
    </row>
    <row r="762" spans="6:6">
      <c r="F762" s="90"/>
    </row>
    <row r="763" spans="6:6">
      <c r="F763" s="90"/>
    </row>
    <row r="764" spans="6:6">
      <c r="F764" s="90"/>
    </row>
    <row r="765" spans="6:6">
      <c r="F765" s="90"/>
    </row>
    <row r="766" spans="6:6">
      <c r="F766" s="90"/>
    </row>
    <row r="767" spans="6:6">
      <c r="F767" s="90"/>
    </row>
    <row r="768" spans="6:6">
      <c r="F768" s="90"/>
    </row>
    <row r="769" spans="6:6">
      <c r="F769" s="90"/>
    </row>
    <row r="770" spans="6:6">
      <c r="F770" s="90"/>
    </row>
    <row r="771" spans="6:6">
      <c r="F771" s="90"/>
    </row>
    <row r="772" spans="6:6">
      <c r="F772" s="90"/>
    </row>
    <row r="773" spans="6:6">
      <c r="F773" s="90"/>
    </row>
    <row r="774" spans="6:6">
      <c r="F774" s="90"/>
    </row>
    <row r="775" spans="6:6">
      <c r="F775" s="90"/>
    </row>
    <row r="776" spans="6:6">
      <c r="F776" s="90"/>
    </row>
    <row r="777" spans="6:6">
      <c r="F777" s="90"/>
    </row>
    <row r="778" spans="6:6">
      <c r="F778" s="90"/>
    </row>
    <row r="779" spans="6:6">
      <c r="F779" s="90"/>
    </row>
    <row r="780" spans="6:6">
      <c r="F780" s="90"/>
    </row>
    <row r="781" spans="6:6">
      <c r="F781" s="90"/>
    </row>
    <row r="782" spans="6:6">
      <c r="F782" s="90"/>
    </row>
    <row r="783" spans="6:6">
      <c r="F783" s="90"/>
    </row>
    <row r="784" spans="6:6">
      <c r="F784" s="90"/>
    </row>
    <row r="785" spans="6:6">
      <c r="F785" s="90"/>
    </row>
    <row r="786" spans="6:6">
      <c r="F786" s="90"/>
    </row>
    <row r="787" spans="6:6">
      <c r="F787" s="90"/>
    </row>
    <row r="788" spans="6:6">
      <c r="F788" s="90"/>
    </row>
    <row r="789" spans="6:6">
      <c r="F789" s="90"/>
    </row>
    <row r="790" spans="6:6">
      <c r="F790" s="90"/>
    </row>
    <row r="791" spans="6:6">
      <c r="F791" s="90"/>
    </row>
    <row r="792" spans="6:6">
      <c r="F792" s="90"/>
    </row>
    <row r="793" spans="6:6">
      <c r="F793" s="90"/>
    </row>
    <row r="794" spans="6:6">
      <c r="F794" s="90"/>
    </row>
    <row r="795" spans="6:6">
      <c r="F795" s="90"/>
    </row>
    <row r="796" spans="6:6">
      <c r="F796" s="90"/>
    </row>
    <row r="797" spans="6:6">
      <c r="F797" s="90"/>
    </row>
    <row r="798" spans="6:6">
      <c r="F798" s="90"/>
    </row>
    <row r="799" spans="6:6">
      <c r="F799" s="90"/>
    </row>
    <row r="800" spans="6:6">
      <c r="F800" s="90"/>
    </row>
    <row r="801" spans="6:6">
      <c r="F801" s="90"/>
    </row>
    <row r="802" spans="6:6">
      <c r="F802" s="90"/>
    </row>
    <row r="803" spans="6:6">
      <c r="F803" s="90"/>
    </row>
    <row r="804" spans="6:6">
      <c r="F804" s="90"/>
    </row>
    <row r="805" spans="6:6">
      <c r="F805" s="90"/>
    </row>
    <row r="806" spans="6:6">
      <c r="F806" s="90"/>
    </row>
    <row r="807" spans="6:6">
      <c r="F807" s="90"/>
    </row>
    <row r="808" spans="6:6">
      <c r="F808" s="90"/>
    </row>
    <row r="809" spans="6:6">
      <c r="F809" s="90"/>
    </row>
    <row r="810" spans="6:6">
      <c r="F810" s="90"/>
    </row>
    <row r="811" spans="6:6">
      <c r="F811" s="90"/>
    </row>
    <row r="812" spans="6:6">
      <c r="F812" s="90"/>
    </row>
    <row r="813" spans="6:6">
      <c r="F813" s="90"/>
    </row>
    <row r="814" spans="6:6">
      <c r="F814" s="90"/>
    </row>
    <row r="815" spans="6:6">
      <c r="F815" s="90"/>
    </row>
    <row r="816" spans="6:6">
      <c r="F816" s="90"/>
    </row>
    <row r="817" spans="6:6">
      <c r="F817" s="90"/>
    </row>
    <row r="818" spans="6:6">
      <c r="F818" s="90"/>
    </row>
    <row r="819" spans="6:6">
      <c r="F819" s="90"/>
    </row>
    <row r="820" spans="6:6">
      <c r="F820" s="90"/>
    </row>
    <row r="821" spans="6:6">
      <c r="F821" s="90"/>
    </row>
    <row r="822" spans="6:6">
      <c r="F822" s="90"/>
    </row>
    <row r="823" spans="6:6">
      <c r="F823" s="90"/>
    </row>
    <row r="824" spans="6:6">
      <c r="F824" s="90"/>
    </row>
    <row r="825" spans="6:6">
      <c r="F825" s="90"/>
    </row>
    <row r="826" spans="6:6">
      <c r="F826" s="90"/>
    </row>
    <row r="827" spans="6:6">
      <c r="F827" s="90"/>
    </row>
    <row r="828" spans="6:6">
      <c r="F828" s="90"/>
    </row>
    <row r="829" spans="6:6">
      <c r="F829" s="90"/>
    </row>
    <row r="830" spans="6:6">
      <c r="F830" s="90"/>
    </row>
    <row r="831" spans="6:6">
      <c r="F831" s="90"/>
    </row>
    <row r="832" spans="6:6">
      <c r="F832" s="90"/>
    </row>
    <row r="833" spans="6:6">
      <c r="F833" s="90"/>
    </row>
    <row r="834" spans="6:6">
      <c r="F834" s="90"/>
    </row>
    <row r="835" spans="6:6">
      <c r="F835" s="90"/>
    </row>
    <row r="836" spans="6:6">
      <c r="F836" s="90"/>
    </row>
    <row r="837" spans="6:6">
      <c r="F837" s="90"/>
    </row>
    <row r="838" spans="6:6">
      <c r="F838" s="90"/>
    </row>
    <row r="839" spans="6:6">
      <c r="F839" s="90"/>
    </row>
    <row r="840" spans="6:6">
      <c r="F840" s="90"/>
    </row>
    <row r="841" spans="6:6">
      <c r="F841" s="90"/>
    </row>
    <row r="842" spans="6:6">
      <c r="F842" s="90"/>
    </row>
    <row r="843" spans="6:6">
      <c r="F843" s="90"/>
    </row>
    <row r="844" spans="6:6">
      <c r="F844" s="90"/>
    </row>
    <row r="845" spans="6:6">
      <c r="F845" s="90"/>
    </row>
    <row r="846" spans="6:6">
      <c r="F846" s="90"/>
    </row>
    <row r="847" spans="6:6">
      <c r="F847" s="90"/>
    </row>
    <row r="848" spans="6:6">
      <c r="F848" s="90"/>
    </row>
    <row r="849" spans="6:6">
      <c r="F849" s="90"/>
    </row>
    <row r="850" spans="6:6">
      <c r="F850" s="90"/>
    </row>
    <row r="851" spans="6:6">
      <c r="F851" s="90"/>
    </row>
    <row r="852" spans="6:6">
      <c r="F852" s="90"/>
    </row>
    <row r="853" spans="6:6">
      <c r="F853" s="90"/>
    </row>
    <row r="854" spans="6:6">
      <c r="F854" s="90"/>
    </row>
    <row r="855" spans="6:6">
      <c r="F855" s="90"/>
    </row>
    <row r="856" spans="6:6">
      <c r="F856" s="90"/>
    </row>
    <row r="857" spans="6:6">
      <c r="F857" s="90"/>
    </row>
    <row r="858" spans="6:6">
      <c r="F858" s="90"/>
    </row>
    <row r="859" spans="6:6">
      <c r="F859" s="90"/>
    </row>
    <row r="860" spans="6:6">
      <c r="F860" s="90"/>
    </row>
    <row r="861" spans="6:6">
      <c r="F861" s="90"/>
    </row>
    <row r="862" spans="6:6">
      <c r="F862" s="90"/>
    </row>
    <row r="863" spans="6:6">
      <c r="F863" s="90"/>
    </row>
    <row r="864" spans="6:6">
      <c r="F864" s="90"/>
    </row>
    <row r="865" spans="6:6">
      <c r="F865" s="90"/>
    </row>
    <row r="866" spans="6:6">
      <c r="F866" s="90"/>
    </row>
    <row r="867" spans="6:6">
      <c r="F867" s="90"/>
    </row>
    <row r="868" spans="6:6">
      <c r="F868" s="90"/>
    </row>
    <row r="869" spans="6:6">
      <c r="F869" s="90"/>
    </row>
    <row r="870" spans="6:6">
      <c r="F870" s="90"/>
    </row>
    <row r="871" spans="6:6">
      <c r="F871" s="90"/>
    </row>
    <row r="872" spans="6:6">
      <c r="F872" s="90"/>
    </row>
    <row r="873" spans="6:6">
      <c r="F873" s="90"/>
    </row>
    <row r="874" spans="6:6">
      <c r="F874" s="90"/>
    </row>
    <row r="875" spans="6:6">
      <c r="F875" s="90"/>
    </row>
    <row r="876" spans="6:6">
      <c r="F876" s="90"/>
    </row>
    <row r="877" spans="6:6">
      <c r="F877" s="90"/>
    </row>
    <row r="878" spans="6:6">
      <c r="F878" s="90"/>
    </row>
    <row r="879" spans="6:6">
      <c r="F879" s="90"/>
    </row>
    <row r="880" spans="6:6">
      <c r="F880" s="90"/>
    </row>
    <row r="881" spans="6:6">
      <c r="F881" s="90"/>
    </row>
    <row r="882" spans="6:6">
      <c r="F882" s="90"/>
    </row>
    <row r="883" spans="6:6">
      <c r="F883" s="90"/>
    </row>
    <row r="884" spans="6:6">
      <c r="F884" s="90"/>
    </row>
    <row r="885" spans="6:6">
      <c r="F885" s="90"/>
    </row>
    <row r="886" spans="6:6">
      <c r="F886" s="90"/>
    </row>
    <row r="887" spans="6:6">
      <c r="F887" s="90"/>
    </row>
    <row r="888" spans="6:6">
      <c r="F888" s="90"/>
    </row>
    <row r="889" spans="6:6">
      <c r="F889" s="90"/>
    </row>
    <row r="890" spans="6:6">
      <c r="F890" s="90"/>
    </row>
    <row r="891" spans="6:6">
      <c r="F891" s="90"/>
    </row>
    <row r="892" spans="6:6">
      <c r="F892" s="90"/>
    </row>
    <row r="893" spans="6:6">
      <c r="F893" s="90"/>
    </row>
    <row r="894" spans="6:6">
      <c r="F894" s="90"/>
    </row>
    <row r="895" spans="6:6">
      <c r="F895" s="90"/>
    </row>
    <row r="896" spans="6:6">
      <c r="F896" s="90"/>
    </row>
    <row r="897" spans="6:6">
      <c r="F897" s="90"/>
    </row>
    <row r="898" spans="6:6">
      <c r="F898" s="90"/>
    </row>
    <row r="899" spans="6:6">
      <c r="F899" s="90"/>
    </row>
    <row r="900" spans="6:6">
      <c r="F900" s="90"/>
    </row>
    <row r="901" spans="6:6">
      <c r="F901" s="90"/>
    </row>
    <row r="902" spans="6:6">
      <c r="F902" s="90"/>
    </row>
    <row r="903" spans="6:6">
      <c r="F903" s="90"/>
    </row>
    <row r="904" spans="6:6">
      <c r="F904" s="90"/>
    </row>
    <row r="905" spans="6:6">
      <c r="F905" s="90"/>
    </row>
    <row r="906" spans="6:6">
      <c r="F906" s="90"/>
    </row>
    <row r="907" spans="6:6">
      <c r="F907" s="90"/>
    </row>
    <row r="908" spans="6:6">
      <c r="F908" s="90"/>
    </row>
    <row r="909" spans="6:6">
      <c r="F909" s="90"/>
    </row>
    <row r="910" spans="6:6">
      <c r="F910" s="90"/>
    </row>
    <row r="911" spans="6:6">
      <c r="F911" s="90"/>
    </row>
    <row r="912" spans="6:6">
      <c r="F912" s="90"/>
    </row>
    <row r="913" spans="6:6">
      <c r="F913" s="90"/>
    </row>
    <row r="914" spans="6:6">
      <c r="F914" s="90"/>
    </row>
    <row r="915" spans="6:6">
      <c r="F915" s="90"/>
    </row>
    <row r="916" spans="6:6">
      <c r="F916" s="90"/>
    </row>
    <row r="917" spans="6:6">
      <c r="F917" s="90"/>
    </row>
    <row r="918" spans="6:6">
      <c r="F918" s="90"/>
    </row>
    <row r="919" spans="6:6">
      <c r="F919" s="90"/>
    </row>
    <row r="920" spans="6:6">
      <c r="F920" s="90"/>
    </row>
    <row r="921" spans="6:6">
      <c r="F921" s="90"/>
    </row>
    <row r="922" spans="6:6">
      <c r="F922" s="90"/>
    </row>
    <row r="923" spans="6:6">
      <c r="F923" s="90"/>
    </row>
    <row r="924" spans="6:6">
      <c r="F924" s="90"/>
    </row>
    <row r="925" spans="6:6">
      <c r="F925" s="90"/>
    </row>
    <row r="926" spans="6:6">
      <c r="F926" s="90"/>
    </row>
    <row r="927" spans="6:6">
      <c r="F927" s="90"/>
    </row>
    <row r="928" spans="6:6">
      <c r="F928" s="90"/>
    </row>
    <row r="929" spans="6:6">
      <c r="F929" s="90"/>
    </row>
    <row r="930" spans="6:6">
      <c r="F930" s="90"/>
    </row>
    <row r="931" spans="6:6">
      <c r="F931" s="90"/>
    </row>
    <row r="932" spans="6:6">
      <c r="F932" s="90"/>
    </row>
    <row r="933" spans="6:6">
      <c r="F933" s="90"/>
    </row>
    <row r="934" spans="6:6">
      <c r="F934" s="90"/>
    </row>
    <row r="935" spans="6:6">
      <c r="F935" s="90"/>
    </row>
    <row r="936" spans="6:6">
      <c r="F936" s="90"/>
    </row>
    <row r="937" spans="6:6">
      <c r="F937" s="90"/>
    </row>
    <row r="938" spans="6:6">
      <c r="F938" s="90"/>
    </row>
    <row r="939" spans="6:6">
      <c r="F939" s="90"/>
    </row>
    <row r="940" spans="6:6">
      <c r="F940" s="90"/>
    </row>
    <row r="941" spans="6:6">
      <c r="F941" s="90"/>
    </row>
    <row r="942" spans="6:6">
      <c r="F942" s="90"/>
    </row>
    <row r="943" spans="6:6">
      <c r="F943" s="90"/>
    </row>
    <row r="944" spans="6:6">
      <c r="F944" s="90"/>
    </row>
    <row r="945" spans="6:6">
      <c r="F945" s="90"/>
    </row>
    <row r="946" spans="6:6">
      <c r="F946" s="90"/>
    </row>
    <row r="947" spans="6:6">
      <c r="F947" s="90"/>
    </row>
    <row r="948" spans="6:6">
      <c r="F948" s="90"/>
    </row>
    <row r="949" spans="6:6">
      <c r="F949" s="90"/>
    </row>
    <row r="950" spans="6:6">
      <c r="F950" s="90"/>
    </row>
    <row r="951" spans="6:6">
      <c r="F951" s="90"/>
    </row>
    <row r="952" spans="6:6">
      <c r="F952" s="90"/>
    </row>
    <row r="953" spans="6:6">
      <c r="F953" s="90"/>
    </row>
    <row r="954" spans="6:6">
      <c r="F954" s="90"/>
    </row>
    <row r="955" spans="6:6">
      <c r="F955" s="90"/>
    </row>
    <row r="956" spans="6:6">
      <c r="F956" s="90"/>
    </row>
    <row r="957" spans="6:6">
      <c r="F957" s="90"/>
    </row>
    <row r="958" spans="6:6">
      <c r="F958" s="90"/>
    </row>
    <row r="959" spans="6:6">
      <c r="F959" s="90"/>
    </row>
    <row r="960" spans="6:6">
      <c r="F960" s="90"/>
    </row>
    <row r="961" spans="6:6">
      <c r="F961" s="90"/>
    </row>
    <row r="962" spans="6:6">
      <c r="F962" s="90"/>
    </row>
    <row r="963" spans="6:6">
      <c r="F963" s="90"/>
    </row>
    <row r="964" spans="6:6">
      <c r="F964" s="90"/>
    </row>
    <row r="965" spans="6:6">
      <c r="F965" s="90"/>
    </row>
    <row r="966" spans="6:6">
      <c r="F966" s="90"/>
    </row>
    <row r="967" spans="6:6">
      <c r="F967" s="90"/>
    </row>
    <row r="968" spans="6:6">
      <c r="F968" s="90"/>
    </row>
    <row r="969" spans="6:6">
      <c r="F969" s="90"/>
    </row>
    <row r="970" spans="6:6">
      <c r="F970" s="90"/>
    </row>
    <row r="971" spans="6:6">
      <c r="F971" s="90"/>
    </row>
    <row r="972" spans="6:6">
      <c r="F972" s="90"/>
    </row>
    <row r="973" spans="6:6">
      <c r="F973" s="90"/>
    </row>
    <row r="974" spans="6:6">
      <c r="F974" s="90"/>
    </row>
    <row r="975" spans="6:6">
      <c r="F975" s="90"/>
    </row>
    <row r="976" spans="6:6">
      <c r="F976" s="90"/>
    </row>
    <row r="977" spans="6:6">
      <c r="F977" s="90"/>
    </row>
    <row r="978" spans="6:6">
      <c r="F978" s="90"/>
    </row>
    <row r="979" spans="6:6">
      <c r="F979" s="90"/>
    </row>
    <row r="980" spans="6:6">
      <c r="F980" s="90"/>
    </row>
    <row r="981" spans="6:6">
      <c r="F981" s="90"/>
    </row>
    <row r="982" spans="6:6">
      <c r="F982" s="90"/>
    </row>
    <row r="983" spans="6:6">
      <c r="F983" s="90"/>
    </row>
    <row r="984" spans="6:6">
      <c r="F984" s="90"/>
    </row>
    <row r="985" spans="6:6">
      <c r="F985" s="90"/>
    </row>
    <row r="986" spans="6:6">
      <c r="F986" s="90"/>
    </row>
    <row r="987" spans="6:6">
      <c r="F987" s="90"/>
    </row>
    <row r="988" spans="6:6">
      <c r="F988" s="90"/>
    </row>
    <row r="989" spans="6:6">
      <c r="F989" s="90"/>
    </row>
    <row r="990" spans="6:6">
      <c r="F990" s="90"/>
    </row>
    <row r="991" spans="6:6">
      <c r="F991" s="90"/>
    </row>
    <row r="992" spans="6:6">
      <c r="F992" s="90"/>
    </row>
    <row r="993" spans="6:6">
      <c r="F993" s="90"/>
    </row>
    <row r="994" spans="6:6">
      <c r="F994" s="90"/>
    </row>
    <row r="995" spans="6:6">
      <c r="F995" s="90"/>
    </row>
    <row r="996" spans="6:6">
      <c r="F996" s="90"/>
    </row>
    <row r="997" spans="6:6">
      <c r="F997" s="90"/>
    </row>
    <row r="998" spans="6:6">
      <c r="F998" s="90"/>
    </row>
    <row r="999" spans="6:6">
      <c r="F999" s="90"/>
    </row>
    <row r="1000" spans="6:6">
      <c r="F1000" s="90"/>
    </row>
    <row r="1001" spans="6:6">
      <c r="F1001" s="90"/>
    </row>
    <row r="1002" spans="6:6">
      <c r="F1002" s="90"/>
    </row>
    <row r="1003" spans="6:6">
      <c r="F1003" s="90"/>
    </row>
  </sheetData>
  <phoneticPr fontId="3"/>
  <pageMargins left="0.75" right="0.75" top="1" bottom="1" header="0.51200000000000001" footer="0.51200000000000001"/>
  <pageSetup paperSize="8" scale="74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AI240"/>
  <sheetViews>
    <sheetView topLeftCell="G1" zoomScale="85" zoomScaleNormal="85" workbookViewId="0">
      <selection activeCell="K11" sqref="K11"/>
    </sheetView>
  </sheetViews>
  <sheetFormatPr baseColWidth="10" defaultColWidth="9.33203125" defaultRowHeight="12"/>
  <cols>
    <col min="1" max="1" width="12.5" style="2" bestFit="1" customWidth="1"/>
    <col min="2" max="2" width="10.5" style="56" bestFit="1" customWidth="1"/>
    <col min="3" max="3" width="6.5" style="51" customWidth="1"/>
    <col min="4" max="4" width="8.33203125" style="110" customWidth="1"/>
    <col min="5" max="5" width="17.33203125" style="101" bestFit="1" customWidth="1"/>
    <col min="6" max="6" width="8.33203125" style="55" customWidth="1"/>
    <col min="7" max="10" width="8.33203125" style="54" customWidth="1"/>
    <col min="11" max="11" width="8.33203125" style="55" customWidth="1"/>
    <col min="12" max="15" width="8.33203125" style="54" customWidth="1"/>
    <col min="16" max="16" width="8.33203125" style="55" customWidth="1"/>
    <col min="17" max="17" width="8.33203125" style="54" customWidth="1"/>
    <col min="18" max="20" width="8.33203125" style="6" customWidth="1"/>
    <col min="21" max="21" width="8.33203125" style="53" customWidth="1"/>
    <col min="22" max="22" width="8.33203125" style="6" customWidth="1"/>
    <col min="23" max="25" width="8.33203125" style="2" customWidth="1"/>
    <col min="26" max="26" width="8.33203125" style="3" customWidth="1"/>
    <col min="27" max="27" width="8.33203125" style="2" customWidth="1"/>
    <col min="28" max="29" width="8.33203125" style="2" bestFit="1" customWidth="1"/>
    <col min="30" max="30" width="8.6640625" style="2" bestFit="1" customWidth="1"/>
    <col min="31" max="31" width="8.6640625" style="3" customWidth="1"/>
    <col min="32" max="32" width="8.33203125" style="2" customWidth="1"/>
    <col min="33" max="34" width="8.33203125" style="2" bestFit="1" customWidth="1"/>
    <col min="35" max="35" width="8.6640625" style="2" bestFit="1" customWidth="1"/>
    <col min="36" max="16384" width="9.33203125" style="2"/>
  </cols>
  <sheetData>
    <row r="1" spans="1:35" s="66" customFormat="1">
      <c r="A1" s="68" t="s">
        <v>115</v>
      </c>
      <c r="B1" s="68" t="s">
        <v>114</v>
      </c>
      <c r="C1" s="68" t="s">
        <v>113</v>
      </c>
      <c r="D1" s="109" t="s">
        <v>112</v>
      </c>
      <c r="E1" s="101" t="s">
        <v>111</v>
      </c>
      <c r="F1" s="65" t="s">
        <v>110</v>
      </c>
      <c r="G1" s="68"/>
      <c r="H1" s="68"/>
      <c r="I1" s="68"/>
      <c r="J1" s="68"/>
      <c r="K1" s="65" t="s">
        <v>109</v>
      </c>
      <c r="L1" s="68"/>
      <c r="M1" s="67"/>
      <c r="N1" s="68"/>
      <c r="O1" s="68"/>
      <c r="P1" s="65" t="s">
        <v>108</v>
      </c>
      <c r="Q1" s="68"/>
      <c r="R1" s="67"/>
      <c r="S1" s="67"/>
      <c r="T1" s="67"/>
      <c r="U1" s="81" t="s">
        <v>107</v>
      </c>
      <c r="V1" s="67"/>
      <c r="Z1" s="82" t="s">
        <v>106</v>
      </c>
      <c r="AE1" s="82" t="s">
        <v>105</v>
      </c>
    </row>
    <row r="2" spans="1:35" s="119" customFormat="1">
      <c r="A2" s="113"/>
      <c r="B2" s="114"/>
      <c r="C2" s="113"/>
      <c r="D2" s="115"/>
      <c r="E2" s="116"/>
      <c r="F2" s="114" t="s">
        <v>172</v>
      </c>
      <c r="G2" s="113" t="s">
        <v>173</v>
      </c>
      <c r="H2" s="113" t="s">
        <v>98</v>
      </c>
      <c r="I2" s="113" t="s">
        <v>98</v>
      </c>
      <c r="J2" s="113" t="s">
        <v>104</v>
      </c>
      <c r="K2" s="114" t="s">
        <v>172</v>
      </c>
      <c r="L2" s="113" t="s">
        <v>173</v>
      </c>
      <c r="M2" s="113" t="s">
        <v>98</v>
      </c>
      <c r="N2" s="113" t="s">
        <v>98</v>
      </c>
      <c r="O2" s="113" t="s">
        <v>104</v>
      </c>
      <c r="P2" s="114" t="s">
        <v>172</v>
      </c>
      <c r="Q2" s="113" t="s">
        <v>173</v>
      </c>
      <c r="R2" s="117" t="s">
        <v>98</v>
      </c>
      <c r="S2" s="117" t="s">
        <v>98</v>
      </c>
      <c r="T2" s="117" t="s">
        <v>104</v>
      </c>
      <c r="U2" s="118" t="s">
        <v>172</v>
      </c>
      <c r="V2" s="117" t="s">
        <v>173</v>
      </c>
      <c r="W2" s="119" t="s">
        <v>98</v>
      </c>
      <c r="X2" s="119" t="s">
        <v>98</v>
      </c>
      <c r="Y2" s="119" t="s">
        <v>104</v>
      </c>
      <c r="Z2" s="120" t="s">
        <v>172</v>
      </c>
      <c r="AA2" s="119" t="s">
        <v>173</v>
      </c>
      <c r="AB2" s="119" t="s">
        <v>98</v>
      </c>
      <c r="AC2" s="119" t="s">
        <v>98</v>
      </c>
      <c r="AD2" s="119" t="s">
        <v>104</v>
      </c>
      <c r="AE2" s="120" t="s">
        <v>172</v>
      </c>
      <c r="AF2" s="119" t="s">
        <v>173</v>
      </c>
      <c r="AG2" s="119" t="s">
        <v>98</v>
      </c>
      <c r="AH2" s="119" t="s">
        <v>98</v>
      </c>
      <c r="AI2" s="119" t="s">
        <v>104</v>
      </c>
    </row>
    <row r="3" spans="1:35" s="17" customFormat="1">
      <c r="A3" s="64"/>
      <c r="B3" s="63"/>
      <c r="C3" s="59"/>
      <c r="D3" s="111"/>
      <c r="E3" s="102"/>
      <c r="F3" s="62"/>
      <c r="G3" s="61"/>
      <c r="H3" s="59"/>
      <c r="I3" s="59"/>
      <c r="J3" s="59"/>
      <c r="K3" s="60"/>
      <c r="L3" s="59"/>
      <c r="M3" s="59"/>
      <c r="N3" s="59"/>
      <c r="O3" s="59"/>
      <c r="P3" s="60"/>
      <c r="Q3" s="59"/>
      <c r="R3" s="57"/>
      <c r="S3" s="57"/>
      <c r="T3" s="57"/>
      <c r="U3" s="58"/>
      <c r="V3" s="57"/>
      <c r="Z3" s="22"/>
      <c r="AE3" s="22"/>
    </row>
    <row r="4" spans="1:35">
      <c r="A4" s="5">
        <v>1</v>
      </c>
      <c r="B4" s="92">
        <v>25</v>
      </c>
      <c r="C4" s="93">
        <v>5</v>
      </c>
      <c r="D4" s="112">
        <v>60</v>
      </c>
      <c r="E4" s="101">
        <v>44115.059421296297</v>
      </c>
      <c r="F4" s="95">
        <v>75.689215146549202</v>
      </c>
      <c r="G4" s="94">
        <v>96.057152321484196</v>
      </c>
      <c r="H4" s="94">
        <v>0</v>
      </c>
      <c r="I4" s="94">
        <v>0</v>
      </c>
      <c r="J4" s="94">
        <v>171.74636746803299</v>
      </c>
      <c r="K4" s="95">
        <v>66.519518086415403</v>
      </c>
      <c r="L4" s="94">
        <v>107.47224217714184</v>
      </c>
      <c r="M4" s="94">
        <v>0</v>
      </c>
      <c r="N4" s="94">
        <v>0</v>
      </c>
      <c r="O4" s="94">
        <v>171.84653782530799</v>
      </c>
      <c r="P4" s="96">
        <v>18.01418293362855</v>
      </c>
      <c r="Q4" s="97">
        <v>-14.875524067627667</v>
      </c>
      <c r="R4" s="98">
        <v>0</v>
      </c>
      <c r="S4" s="98">
        <v>0</v>
      </c>
      <c r="T4" s="97">
        <v>3.1386588660008417</v>
      </c>
      <c r="U4" s="99">
        <v>0.38708675151801059</v>
      </c>
      <c r="V4" s="100">
        <v>0.62539660988918866</v>
      </c>
      <c r="W4" s="100">
        <v>0</v>
      </c>
      <c r="X4" s="100">
        <v>0</v>
      </c>
      <c r="Y4" s="100">
        <v>1</v>
      </c>
      <c r="Z4" s="99">
        <v>0.38119117376543088</v>
      </c>
      <c r="AA4" s="100">
        <v>0.61880882623456901</v>
      </c>
      <c r="AB4" s="100">
        <v>0</v>
      </c>
      <c r="AC4" s="100">
        <v>0</v>
      </c>
      <c r="AD4" s="100">
        <v>0.99999999999999989</v>
      </c>
      <c r="AE4" s="99">
        <v>5.7394523274781779</v>
      </c>
      <c r="AF4" s="100">
        <v>-4.7394523274781655</v>
      </c>
      <c r="AG4" s="100">
        <v>0</v>
      </c>
      <c r="AH4" s="100">
        <v>0</v>
      </c>
      <c r="AI4" s="100">
        <v>1</v>
      </c>
    </row>
    <row r="5" spans="1:35">
      <c r="A5" s="5">
        <v>2</v>
      </c>
      <c r="B5" s="92">
        <v>25</v>
      </c>
      <c r="C5" s="93">
        <v>5</v>
      </c>
      <c r="D5" s="112">
        <v>60</v>
      </c>
      <c r="E5" s="101">
        <v>44115.259780092594</v>
      </c>
      <c r="F5" s="95">
        <v>75.373490936997698</v>
      </c>
      <c r="G5" s="94">
        <v>145.00294516464999</v>
      </c>
      <c r="H5" s="94">
        <v>0</v>
      </c>
      <c r="I5" s="94">
        <v>0</v>
      </c>
      <c r="J5" s="94">
        <v>220.37643610164699</v>
      </c>
      <c r="K5" s="95">
        <v>67.202318977781644</v>
      </c>
      <c r="L5" s="94">
        <v>157.54251952013411</v>
      </c>
      <c r="M5" s="94">
        <v>0</v>
      </c>
      <c r="N5" s="94">
        <v>0</v>
      </c>
      <c r="O5" s="94">
        <v>221.54949861764899</v>
      </c>
      <c r="P5" s="96">
        <v>15.201134159228129</v>
      </c>
      <c r="Q5" s="97">
        <v>-11.766919110837216</v>
      </c>
      <c r="R5" s="98">
        <v>0</v>
      </c>
      <c r="S5" s="98">
        <v>0</v>
      </c>
      <c r="T5" s="97">
        <v>3.4342150483909291</v>
      </c>
      <c r="U5" s="99">
        <v>0.30332868906085714</v>
      </c>
      <c r="V5" s="100">
        <v>0.71109400158030422</v>
      </c>
      <c r="W5" s="100">
        <v>0</v>
      </c>
      <c r="X5" s="100">
        <v>0</v>
      </c>
      <c r="Y5" s="100">
        <v>1</v>
      </c>
      <c r="Z5" s="99">
        <v>0.29649661119731735</v>
      </c>
      <c r="AA5" s="100">
        <v>0.70350338880268259</v>
      </c>
      <c r="AB5" s="100">
        <v>0</v>
      </c>
      <c r="AC5" s="100">
        <v>0</v>
      </c>
      <c r="AD5" s="100">
        <v>1</v>
      </c>
      <c r="AE5" s="99">
        <v>4.4263780645741697</v>
      </c>
      <c r="AF5" s="100">
        <v>-3.4263780645741746</v>
      </c>
      <c r="AG5" s="100">
        <v>0</v>
      </c>
      <c r="AH5" s="100">
        <v>0</v>
      </c>
      <c r="AI5" s="100">
        <v>1</v>
      </c>
    </row>
    <row r="6" spans="1:35">
      <c r="A6" s="5">
        <v>3</v>
      </c>
      <c r="B6" s="92">
        <v>25</v>
      </c>
      <c r="C6" s="93">
        <v>5</v>
      </c>
      <c r="D6" s="112">
        <v>60</v>
      </c>
      <c r="E6" s="101">
        <v>44115.494629629633</v>
      </c>
      <c r="F6" s="95">
        <v>289.15459623753702</v>
      </c>
      <c r="G6" s="94">
        <v>289.25275760059202</v>
      </c>
      <c r="H6" s="94">
        <v>0</v>
      </c>
      <c r="I6" s="94">
        <v>0</v>
      </c>
      <c r="J6" s="94">
        <v>578.40735383812898</v>
      </c>
      <c r="K6" s="95">
        <v>250.32134298261224</v>
      </c>
      <c r="L6" s="94">
        <v>268.43149572955542</v>
      </c>
      <c r="M6" s="94">
        <v>0</v>
      </c>
      <c r="N6" s="94">
        <v>0</v>
      </c>
      <c r="O6" s="94">
        <v>497.65891562951202</v>
      </c>
      <c r="P6" s="96">
        <v>118.13248251524382</v>
      </c>
      <c r="Q6" s="97">
        <v>99.289027705436965</v>
      </c>
      <c r="R6" s="98">
        <v>0</v>
      </c>
      <c r="S6" s="98">
        <v>0</v>
      </c>
      <c r="T6" s="97">
        <v>217.42151022068083</v>
      </c>
      <c r="U6" s="99">
        <v>0.50299780657193505</v>
      </c>
      <c r="V6" s="100">
        <v>0.53938849943038569</v>
      </c>
      <c r="W6" s="100">
        <v>0</v>
      </c>
      <c r="X6" s="100">
        <v>0</v>
      </c>
      <c r="Y6" s="100">
        <v>1</v>
      </c>
      <c r="Z6" s="99">
        <v>0.48304715550259808</v>
      </c>
      <c r="AA6" s="100">
        <v>0.51695284449740198</v>
      </c>
      <c r="AB6" s="100">
        <v>0</v>
      </c>
      <c r="AC6" s="100">
        <v>0</v>
      </c>
      <c r="AD6" s="100">
        <v>1</v>
      </c>
      <c r="AE6" s="99">
        <v>0.5433339249430309</v>
      </c>
      <c r="AF6" s="100">
        <v>0.45666607505696893</v>
      </c>
      <c r="AG6" s="100">
        <v>0</v>
      </c>
      <c r="AH6" s="100">
        <v>0</v>
      </c>
      <c r="AI6" s="100">
        <v>1</v>
      </c>
    </row>
    <row r="7" spans="1:35">
      <c r="A7" s="5"/>
      <c r="B7" s="92"/>
      <c r="C7" s="93"/>
      <c r="D7" s="112"/>
      <c r="F7" s="95"/>
      <c r="G7" s="94"/>
      <c r="H7" s="94"/>
      <c r="I7" s="94"/>
      <c r="J7" s="94"/>
      <c r="K7" s="95"/>
      <c r="L7" s="94"/>
      <c r="M7" s="94"/>
      <c r="N7" s="94"/>
      <c r="O7" s="94"/>
      <c r="P7" s="96"/>
      <c r="Q7" s="97"/>
      <c r="R7" s="98"/>
      <c r="S7" s="98"/>
      <c r="T7" s="97"/>
      <c r="U7" s="99"/>
      <c r="V7" s="100"/>
      <c r="W7" s="100"/>
      <c r="X7" s="100"/>
      <c r="Y7" s="100"/>
      <c r="Z7" s="99"/>
      <c r="AA7" s="100"/>
      <c r="AB7" s="100"/>
      <c r="AC7" s="100"/>
      <c r="AD7" s="100"/>
      <c r="AE7" s="99"/>
      <c r="AF7" s="100"/>
      <c r="AG7" s="100"/>
      <c r="AH7" s="100"/>
      <c r="AI7" s="100"/>
    </row>
    <row r="8" spans="1:35">
      <c r="A8" s="5"/>
      <c r="B8" s="92"/>
      <c r="C8" s="93"/>
      <c r="D8" s="112"/>
      <c r="F8" s="95"/>
      <c r="G8" s="94"/>
      <c r="H8" s="94"/>
      <c r="I8" s="94"/>
      <c r="J8" s="94"/>
      <c r="K8" s="95"/>
      <c r="L8" s="94"/>
      <c r="M8" s="94"/>
      <c r="N8" s="94"/>
      <c r="O8" s="94"/>
      <c r="P8" s="96"/>
      <c r="Q8" s="97"/>
      <c r="R8" s="98"/>
      <c r="S8" s="98"/>
      <c r="T8" s="97"/>
      <c r="U8" s="99"/>
      <c r="V8" s="100"/>
      <c r="W8" s="100"/>
      <c r="X8" s="100"/>
      <c r="Y8" s="100"/>
      <c r="Z8" s="99"/>
      <c r="AA8" s="100"/>
      <c r="AB8" s="100"/>
      <c r="AC8" s="100"/>
      <c r="AD8" s="100"/>
      <c r="AE8" s="99"/>
      <c r="AF8" s="100"/>
      <c r="AG8" s="100"/>
      <c r="AH8" s="100"/>
      <c r="AI8" s="100"/>
    </row>
    <row r="9" spans="1:35">
      <c r="A9" s="5"/>
      <c r="B9" s="92"/>
      <c r="C9" s="93"/>
      <c r="D9" s="112"/>
      <c r="F9" s="95"/>
      <c r="G9" s="94"/>
      <c r="H9" s="94"/>
      <c r="I9" s="94"/>
      <c r="J9" s="94"/>
      <c r="K9" s="95"/>
      <c r="L9" s="94"/>
      <c r="M9" s="94"/>
      <c r="N9" s="94"/>
      <c r="O9" s="94"/>
      <c r="P9" s="96"/>
      <c r="Q9" s="97"/>
      <c r="R9" s="98"/>
      <c r="S9" s="98"/>
      <c r="T9" s="97"/>
      <c r="U9" s="99"/>
      <c r="V9" s="100"/>
      <c r="W9" s="100"/>
      <c r="X9" s="100"/>
      <c r="Y9" s="100"/>
      <c r="Z9" s="99"/>
      <c r="AA9" s="100"/>
      <c r="AB9" s="100"/>
      <c r="AC9" s="100"/>
      <c r="AD9" s="100"/>
      <c r="AE9" s="99"/>
      <c r="AF9" s="100"/>
      <c r="AG9" s="100"/>
      <c r="AH9" s="100"/>
      <c r="AI9" s="100"/>
    </row>
    <row r="10" spans="1:35">
      <c r="A10" s="5"/>
      <c r="B10" s="92"/>
      <c r="C10" s="93"/>
      <c r="D10" s="112"/>
      <c r="F10" s="95"/>
      <c r="G10" s="94"/>
      <c r="H10" s="94"/>
      <c r="I10" s="94"/>
      <c r="J10" s="94"/>
      <c r="K10" s="95"/>
      <c r="L10" s="94"/>
      <c r="M10" s="94"/>
      <c r="N10" s="94"/>
      <c r="O10" s="94"/>
      <c r="P10" s="96"/>
      <c r="Q10" s="97"/>
      <c r="R10" s="98"/>
      <c r="S10" s="98"/>
      <c r="T10" s="97"/>
      <c r="U10" s="99"/>
      <c r="V10" s="100"/>
      <c r="W10" s="100"/>
      <c r="X10" s="100"/>
      <c r="Y10" s="100"/>
      <c r="Z10" s="99"/>
      <c r="AA10" s="100"/>
      <c r="AB10" s="100"/>
      <c r="AC10" s="100"/>
      <c r="AD10" s="100"/>
      <c r="AE10" s="99"/>
      <c r="AF10" s="100"/>
      <c r="AG10" s="100"/>
      <c r="AH10" s="100"/>
      <c r="AI10" s="100"/>
    </row>
    <row r="11" spans="1:35">
      <c r="A11" s="5"/>
      <c r="B11" s="92"/>
      <c r="C11" s="93"/>
      <c r="D11" s="112"/>
      <c r="F11" s="95"/>
      <c r="G11" s="94"/>
      <c r="H11" s="94"/>
      <c r="I11" s="94"/>
      <c r="J11" s="94"/>
      <c r="K11" s="95"/>
      <c r="L11" s="94"/>
      <c r="M11" s="94"/>
      <c r="N11" s="94"/>
      <c r="O11" s="94"/>
      <c r="P11" s="96"/>
      <c r="Q11" s="97"/>
      <c r="R11" s="98"/>
      <c r="S11" s="98"/>
      <c r="T11" s="97"/>
      <c r="U11" s="99"/>
      <c r="V11" s="100"/>
      <c r="W11" s="100"/>
      <c r="X11" s="100"/>
      <c r="Y11" s="100"/>
      <c r="Z11" s="99"/>
      <c r="AA11" s="100"/>
      <c r="AB11" s="100"/>
      <c r="AC11" s="100"/>
      <c r="AD11" s="100"/>
      <c r="AE11" s="99"/>
      <c r="AF11" s="100"/>
      <c r="AG11" s="100"/>
      <c r="AH11" s="100"/>
      <c r="AI11" s="100"/>
    </row>
    <row r="12" spans="1:35">
      <c r="A12" s="5"/>
      <c r="B12" s="92"/>
      <c r="C12" s="93"/>
      <c r="D12" s="112"/>
      <c r="F12" s="95"/>
      <c r="G12" s="94"/>
      <c r="H12" s="94"/>
      <c r="I12" s="94"/>
      <c r="J12" s="94"/>
      <c r="K12" s="95"/>
      <c r="L12" s="94"/>
      <c r="M12" s="94"/>
      <c r="N12" s="94"/>
      <c r="O12" s="94"/>
      <c r="P12" s="96"/>
      <c r="Q12" s="97"/>
      <c r="R12" s="98"/>
      <c r="S12" s="98"/>
      <c r="T12" s="97"/>
      <c r="U12" s="99"/>
      <c r="V12" s="100"/>
      <c r="W12" s="100"/>
      <c r="X12" s="100"/>
      <c r="Y12" s="100"/>
      <c r="Z12" s="99"/>
      <c r="AA12" s="100"/>
      <c r="AB12" s="100"/>
      <c r="AC12" s="100"/>
      <c r="AD12" s="100"/>
      <c r="AE12" s="99"/>
      <c r="AF12" s="100"/>
      <c r="AG12" s="100"/>
      <c r="AH12" s="100"/>
      <c r="AI12" s="100"/>
    </row>
    <row r="13" spans="1:35">
      <c r="A13" s="5"/>
      <c r="B13" s="92"/>
      <c r="C13" s="93"/>
      <c r="D13" s="112"/>
      <c r="F13" s="95"/>
      <c r="G13" s="94"/>
      <c r="H13" s="94"/>
      <c r="I13" s="94"/>
      <c r="J13" s="94"/>
      <c r="K13" s="95"/>
      <c r="L13" s="94"/>
      <c r="M13" s="94"/>
      <c r="N13" s="94"/>
      <c r="O13" s="94"/>
      <c r="P13" s="96"/>
      <c r="Q13" s="97"/>
      <c r="R13" s="98"/>
      <c r="S13" s="98"/>
      <c r="T13" s="97"/>
      <c r="U13" s="99"/>
      <c r="V13" s="100"/>
      <c r="W13" s="100"/>
      <c r="X13" s="100"/>
      <c r="Y13" s="100"/>
      <c r="Z13" s="99"/>
      <c r="AA13" s="100"/>
      <c r="AB13" s="100"/>
      <c r="AC13" s="100"/>
      <c r="AD13" s="100"/>
      <c r="AE13" s="99"/>
      <c r="AF13" s="100"/>
      <c r="AG13" s="100"/>
      <c r="AH13" s="100"/>
      <c r="AI13" s="100"/>
    </row>
    <row r="14" spans="1:35">
      <c r="A14" s="5"/>
      <c r="B14" s="92"/>
      <c r="C14" s="93"/>
      <c r="D14" s="112"/>
      <c r="F14" s="95"/>
      <c r="G14" s="94"/>
      <c r="H14" s="94"/>
      <c r="I14" s="94"/>
      <c r="J14" s="94"/>
      <c r="K14" s="95"/>
      <c r="L14" s="94"/>
      <c r="M14" s="94"/>
      <c r="N14" s="94"/>
      <c r="O14" s="94"/>
      <c r="P14" s="96"/>
      <c r="Q14" s="97"/>
      <c r="R14" s="98"/>
      <c r="S14" s="98"/>
      <c r="T14" s="97"/>
      <c r="U14" s="99"/>
      <c r="V14" s="100"/>
      <c r="W14" s="100"/>
      <c r="X14" s="100"/>
      <c r="Y14" s="100"/>
      <c r="Z14" s="99"/>
      <c r="AA14" s="100"/>
      <c r="AB14" s="100"/>
      <c r="AC14" s="100"/>
      <c r="AD14" s="100"/>
      <c r="AE14" s="99"/>
      <c r="AF14" s="100"/>
      <c r="AG14" s="100"/>
      <c r="AH14" s="100"/>
      <c r="AI14" s="100"/>
    </row>
    <row r="15" spans="1:35">
      <c r="A15" s="5"/>
      <c r="B15" s="92"/>
      <c r="C15" s="93"/>
      <c r="D15" s="112"/>
      <c r="F15" s="95"/>
      <c r="G15" s="94"/>
      <c r="H15" s="94"/>
      <c r="I15" s="94"/>
      <c r="J15" s="94"/>
      <c r="K15" s="95"/>
      <c r="L15" s="94"/>
      <c r="M15" s="94"/>
      <c r="N15" s="94"/>
      <c r="O15" s="94"/>
      <c r="P15" s="96"/>
      <c r="Q15" s="97"/>
      <c r="R15" s="98"/>
      <c r="S15" s="98"/>
      <c r="T15" s="97"/>
      <c r="U15" s="99"/>
      <c r="V15" s="100"/>
      <c r="W15" s="100"/>
      <c r="X15" s="100"/>
      <c r="Y15" s="100"/>
      <c r="Z15" s="99"/>
      <c r="AA15" s="100"/>
      <c r="AB15" s="100"/>
      <c r="AC15" s="100"/>
      <c r="AD15" s="100"/>
      <c r="AE15" s="99"/>
      <c r="AF15" s="100"/>
      <c r="AG15" s="100"/>
      <c r="AH15" s="100"/>
      <c r="AI15" s="100"/>
    </row>
    <row r="16" spans="1:35">
      <c r="A16" s="5"/>
      <c r="B16" s="92"/>
      <c r="C16" s="93"/>
      <c r="D16" s="112"/>
      <c r="F16" s="95"/>
      <c r="G16" s="94"/>
      <c r="H16" s="94"/>
      <c r="I16" s="94"/>
      <c r="J16" s="94"/>
      <c r="K16" s="95"/>
      <c r="L16" s="94"/>
      <c r="M16" s="94"/>
      <c r="N16" s="94"/>
      <c r="O16" s="94"/>
      <c r="P16" s="96"/>
      <c r="Q16" s="97"/>
      <c r="R16" s="98"/>
      <c r="S16" s="98"/>
      <c r="T16" s="97"/>
      <c r="U16" s="99"/>
      <c r="V16" s="100"/>
      <c r="W16" s="100"/>
      <c r="X16" s="100"/>
      <c r="Y16" s="100"/>
      <c r="Z16" s="99"/>
      <c r="AA16" s="100"/>
      <c r="AB16" s="100"/>
      <c r="AC16" s="100"/>
      <c r="AD16" s="100"/>
      <c r="AE16" s="99"/>
      <c r="AF16" s="100"/>
      <c r="AG16" s="100"/>
      <c r="AH16" s="100"/>
      <c r="AI16" s="100"/>
    </row>
    <row r="17" spans="1:35">
      <c r="A17" s="5"/>
      <c r="B17" s="92"/>
      <c r="C17" s="93"/>
      <c r="D17" s="112"/>
      <c r="F17" s="95"/>
      <c r="G17" s="94"/>
      <c r="H17" s="94"/>
      <c r="I17" s="94"/>
      <c r="J17" s="94"/>
      <c r="K17" s="95"/>
      <c r="L17" s="94"/>
      <c r="M17" s="94"/>
      <c r="N17" s="94"/>
      <c r="O17" s="94"/>
      <c r="P17" s="96"/>
      <c r="Q17" s="97"/>
      <c r="R17" s="98"/>
      <c r="S17" s="98"/>
      <c r="T17" s="97"/>
      <c r="U17" s="99"/>
      <c r="V17" s="100"/>
      <c r="W17" s="100"/>
      <c r="X17" s="100"/>
      <c r="Y17" s="100"/>
      <c r="Z17" s="99"/>
      <c r="AA17" s="100"/>
      <c r="AB17" s="100"/>
      <c r="AC17" s="100"/>
      <c r="AD17" s="100"/>
      <c r="AE17" s="99"/>
      <c r="AF17" s="100"/>
      <c r="AG17" s="100"/>
      <c r="AH17" s="100"/>
      <c r="AI17" s="100"/>
    </row>
    <row r="18" spans="1:35">
      <c r="A18" s="5"/>
      <c r="B18" s="92"/>
      <c r="C18" s="93"/>
      <c r="D18" s="112"/>
      <c r="F18" s="95"/>
      <c r="G18" s="94"/>
      <c r="H18" s="94"/>
      <c r="I18" s="94"/>
      <c r="J18" s="94"/>
      <c r="K18" s="95"/>
      <c r="L18" s="94"/>
      <c r="M18" s="94"/>
      <c r="N18" s="94"/>
      <c r="O18" s="94"/>
      <c r="P18" s="96"/>
      <c r="Q18" s="97"/>
      <c r="R18" s="98"/>
      <c r="S18" s="98"/>
      <c r="T18" s="97"/>
      <c r="U18" s="99"/>
      <c r="V18" s="100"/>
      <c r="W18" s="100"/>
      <c r="X18" s="100"/>
      <c r="Y18" s="100"/>
      <c r="Z18" s="99"/>
      <c r="AA18" s="100"/>
      <c r="AB18" s="100"/>
      <c r="AC18" s="100"/>
      <c r="AD18" s="100"/>
      <c r="AE18" s="99"/>
      <c r="AF18" s="100"/>
      <c r="AG18" s="100"/>
      <c r="AH18" s="100"/>
      <c r="AI18" s="100"/>
    </row>
    <row r="19" spans="1:35">
      <c r="A19" s="5"/>
      <c r="B19" s="92"/>
      <c r="C19" s="93"/>
      <c r="D19" s="112"/>
      <c r="F19" s="95"/>
      <c r="G19" s="94"/>
      <c r="H19" s="94"/>
      <c r="I19" s="94"/>
      <c r="J19" s="94"/>
      <c r="K19" s="95"/>
      <c r="L19" s="94"/>
      <c r="M19" s="94"/>
      <c r="N19" s="94"/>
      <c r="O19" s="94"/>
      <c r="P19" s="96"/>
      <c r="Q19" s="97"/>
      <c r="R19" s="98"/>
      <c r="S19" s="98"/>
      <c r="T19" s="97"/>
      <c r="U19" s="99"/>
      <c r="V19" s="100"/>
      <c r="W19" s="100"/>
      <c r="X19" s="100"/>
      <c r="Y19" s="100"/>
      <c r="Z19" s="99"/>
      <c r="AA19" s="100"/>
      <c r="AB19" s="100"/>
      <c r="AC19" s="100"/>
      <c r="AD19" s="100"/>
      <c r="AE19" s="99"/>
      <c r="AF19" s="100"/>
      <c r="AG19" s="100"/>
      <c r="AH19" s="100"/>
      <c r="AI19" s="100"/>
    </row>
    <row r="20" spans="1:35">
      <c r="A20" s="5"/>
      <c r="B20" s="92"/>
      <c r="C20" s="93"/>
      <c r="D20" s="112"/>
      <c r="F20" s="95"/>
      <c r="G20" s="94"/>
      <c r="H20" s="94"/>
      <c r="I20" s="94"/>
      <c r="J20" s="94"/>
      <c r="K20" s="95"/>
      <c r="L20" s="94"/>
      <c r="M20" s="94"/>
      <c r="N20" s="94"/>
      <c r="O20" s="94"/>
      <c r="P20" s="96"/>
      <c r="Q20" s="97"/>
      <c r="R20" s="98"/>
      <c r="S20" s="98"/>
      <c r="T20" s="97"/>
      <c r="U20" s="99"/>
      <c r="V20" s="100"/>
      <c r="W20" s="100"/>
      <c r="X20" s="100"/>
      <c r="Y20" s="100"/>
      <c r="Z20" s="99"/>
      <c r="AA20" s="100"/>
      <c r="AB20" s="100"/>
      <c r="AC20" s="100"/>
      <c r="AD20" s="100"/>
      <c r="AE20" s="99"/>
      <c r="AF20" s="100"/>
      <c r="AG20" s="100"/>
      <c r="AH20" s="100"/>
      <c r="AI20" s="100"/>
    </row>
    <row r="21" spans="1:35">
      <c r="A21" s="5"/>
      <c r="B21" s="92"/>
      <c r="C21" s="93"/>
      <c r="D21" s="112"/>
      <c r="F21" s="95"/>
      <c r="G21" s="94"/>
      <c r="H21" s="94"/>
      <c r="I21" s="94"/>
      <c r="J21" s="94"/>
      <c r="K21" s="95"/>
      <c r="L21" s="94"/>
      <c r="M21" s="94"/>
      <c r="N21" s="94"/>
      <c r="O21" s="94"/>
      <c r="P21" s="96"/>
      <c r="Q21" s="97"/>
      <c r="R21" s="98"/>
      <c r="S21" s="98"/>
      <c r="T21" s="97"/>
      <c r="U21" s="99"/>
      <c r="V21" s="100"/>
      <c r="W21" s="100"/>
      <c r="X21" s="100"/>
      <c r="Y21" s="100"/>
      <c r="Z21" s="99"/>
      <c r="AA21" s="100"/>
      <c r="AB21" s="100"/>
      <c r="AC21" s="100"/>
      <c r="AD21" s="100"/>
      <c r="AE21" s="99"/>
      <c r="AF21" s="100"/>
      <c r="AG21" s="100"/>
      <c r="AH21" s="100"/>
      <c r="AI21" s="100"/>
    </row>
    <row r="22" spans="1:35">
      <c r="A22" s="5"/>
      <c r="B22" s="92"/>
      <c r="C22" s="93"/>
      <c r="D22" s="112"/>
      <c r="F22" s="95"/>
      <c r="G22" s="94"/>
      <c r="H22" s="94"/>
      <c r="I22" s="94"/>
      <c r="J22" s="94"/>
      <c r="K22" s="95"/>
      <c r="L22" s="94"/>
      <c r="M22" s="94"/>
      <c r="N22" s="94"/>
      <c r="O22" s="94"/>
      <c r="P22" s="96"/>
      <c r="Q22" s="97"/>
      <c r="R22" s="98"/>
      <c r="S22" s="98"/>
      <c r="T22" s="97"/>
      <c r="U22" s="99"/>
      <c r="V22" s="100"/>
      <c r="W22" s="100"/>
      <c r="X22" s="100"/>
      <c r="Y22" s="100"/>
      <c r="Z22" s="99"/>
      <c r="AA22" s="100"/>
      <c r="AB22" s="100"/>
      <c r="AC22" s="100"/>
      <c r="AD22" s="100"/>
      <c r="AE22" s="99"/>
      <c r="AF22" s="100"/>
      <c r="AG22" s="100"/>
      <c r="AH22" s="100"/>
      <c r="AI22" s="100"/>
    </row>
    <row r="23" spans="1:35">
      <c r="A23" s="5"/>
      <c r="B23" s="92"/>
      <c r="C23" s="93"/>
      <c r="D23" s="112"/>
      <c r="F23" s="95"/>
      <c r="G23" s="94"/>
      <c r="H23" s="94"/>
      <c r="I23" s="94"/>
      <c r="J23" s="94"/>
      <c r="K23" s="95"/>
      <c r="L23" s="94"/>
      <c r="M23" s="94"/>
      <c r="N23" s="94"/>
      <c r="O23" s="94"/>
      <c r="P23" s="96"/>
      <c r="Q23" s="97"/>
      <c r="R23" s="98"/>
      <c r="S23" s="98"/>
      <c r="T23" s="97"/>
      <c r="U23" s="99"/>
      <c r="V23" s="100"/>
      <c r="W23" s="100"/>
      <c r="X23" s="100"/>
      <c r="Y23" s="100"/>
      <c r="Z23" s="99"/>
      <c r="AA23" s="100"/>
      <c r="AB23" s="100"/>
      <c r="AC23" s="100"/>
      <c r="AD23" s="100"/>
      <c r="AE23" s="99"/>
      <c r="AF23" s="100"/>
      <c r="AG23" s="100"/>
      <c r="AH23" s="100"/>
      <c r="AI23" s="100"/>
    </row>
    <row r="24" spans="1:35">
      <c r="A24" s="5"/>
      <c r="B24" s="92"/>
      <c r="C24" s="93"/>
      <c r="D24" s="112"/>
      <c r="F24" s="95"/>
      <c r="G24" s="94"/>
      <c r="H24" s="94"/>
      <c r="I24" s="94"/>
      <c r="J24" s="94"/>
      <c r="K24" s="95"/>
      <c r="L24" s="94"/>
      <c r="M24" s="94"/>
      <c r="N24" s="94"/>
      <c r="O24" s="94"/>
      <c r="P24" s="96"/>
      <c r="Q24" s="97"/>
      <c r="R24" s="98"/>
      <c r="S24" s="98"/>
      <c r="T24" s="97"/>
      <c r="U24" s="99"/>
      <c r="V24" s="100"/>
      <c r="W24" s="100"/>
      <c r="X24" s="100"/>
      <c r="Y24" s="100"/>
      <c r="Z24" s="99"/>
      <c r="AA24" s="100"/>
      <c r="AB24" s="100"/>
      <c r="AC24" s="100"/>
      <c r="AD24" s="100"/>
      <c r="AE24" s="99"/>
      <c r="AF24" s="100"/>
      <c r="AG24" s="100"/>
      <c r="AH24" s="100"/>
      <c r="AI24" s="100"/>
    </row>
    <row r="25" spans="1:35">
      <c r="A25" s="5"/>
      <c r="B25" s="92"/>
      <c r="C25" s="93"/>
      <c r="D25" s="112"/>
      <c r="F25" s="95"/>
      <c r="G25" s="94"/>
      <c r="H25" s="94"/>
      <c r="I25" s="94"/>
      <c r="J25" s="94"/>
      <c r="K25" s="95"/>
      <c r="L25" s="94"/>
      <c r="M25" s="94"/>
      <c r="N25" s="94"/>
      <c r="O25" s="94"/>
      <c r="P25" s="96"/>
      <c r="Q25" s="97"/>
      <c r="R25" s="98"/>
      <c r="S25" s="98"/>
      <c r="T25" s="97"/>
      <c r="U25" s="99"/>
      <c r="V25" s="100"/>
      <c r="W25" s="100"/>
      <c r="X25" s="100"/>
      <c r="Y25" s="100"/>
      <c r="Z25" s="99"/>
      <c r="AA25" s="100"/>
      <c r="AB25" s="100"/>
      <c r="AC25" s="100"/>
      <c r="AD25" s="100"/>
      <c r="AE25" s="99"/>
      <c r="AF25" s="100"/>
      <c r="AG25" s="100"/>
      <c r="AH25" s="100"/>
      <c r="AI25" s="100"/>
    </row>
    <row r="26" spans="1:35">
      <c r="A26" s="5"/>
      <c r="B26" s="92"/>
      <c r="C26" s="93"/>
      <c r="D26" s="112"/>
      <c r="F26" s="95"/>
      <c r="G26" s="94"/>
      <c r="H26" s="94"/>
      <c r="I26" s="94"/>
      <c r="J26" s="94"/>
      <c r="K26" s="95"/>
      <c r="L26" s="94"/>
      <c r="M26" s="94"/>
      <c r="N26" s="94"/>
      <c r="O26" s="94"/>
      <c r="P26" s="96"/>
      <c r="Q26" s="97"/>
      <c r="R26" s="98"/>
      <c r="S26" s="98"/>
      <c r="T26" s="97"/>
      <c r="U26" s="99"/>
      <c r="V26" s="100"/>
      <c r="W26" s="100"/>
      <c r="X26" s="100"/>
      <c r="Y26" s="100"/>
      <c r="Z26" s="99"/>
      <c r="AA26" s="100"/>
      <c r="AB26" s="100"/>
      <c r="AC26" s="100"/>
      <c r="AD26" s="100"/>
      <c r="AE26" s="99"/>
      <c r="AF26" s="100"/>
      <c r="AG26" s="100"/>
      <c r="AH26" s="100"/>
      <c r="AI26" s="100"/>
    </row>
    <row r="27" spans="1:35">
      <c r="A27" s="5"/>
      <c r="B27" s="92"/>
      <c r="C27" s="93"/>
      <c r="D27" s="112"/>
      <c r="F27" s="95"/>
      <c r="G27" s="94"/>
      <c r="H27" s="94"/>
      <c r="I27" s="94"/>
      <c r="J27" s="94"/>
      <c r="K27" s="95"/>
      <c r="L27" s="94"/>
      <c r="M27" s="94"/>
      <c r="N27" s="94"/>
      <c r="O27" s="94"/>
      <c r="P27" s="96"/>
      <c r="Q27" s="97"/>
      <c r="R27" s="98"/>
      <c r="S27" s="98"/>
      <c r="T27" s="97"/>
      <c r="U27" s="99"/>
      <c r="V27" s="100"/>
      <c r="W27" s="100"/>
      <c r="X27" s="100"/>
      <c r="Y27" s="100"/>
      <c r="Z27" s="99"/>
      <c r="AA27" s="100"/>
      <c r="AB27" s="100"/>
      <c r="AC27" s="100"/>
      <c r="AD27" s="100"/>
      <c r="AE27" s="99"/>
      <c r="AF27" s="100"/>
      <c r="AG27" s="100"/>
      <c r="AH27" s="100"/>
      <c r="AI27" s="100"/>
    </row>
    <row r="28" spans="1:35">
      <c r="A28" s="5"/>
      <c r="B28" s="92"/>
      <c r="C28" s="93"/>
      <c r="D28" s="112"/>
      <c r="F28" s="95"/>
      <c r="G28" s="94"/>
      <c r="H28" s="94"/>
      <c r="I28" s="94"/>
      <c r="J28" s="94"/>
      <c r="K28" s="95"/>
      <c r="L28" s="94"/>
      <c r="M28" s="94"/>
      <c r="N28" s="94"/>
      <c r="O28" s="94"/>
      <c r="P28" s="96"/>
      <c r="Q28" s="97"/>
      <c r="R28" s="98"/>
      <c r="S28" s="98"/>
      <c r="T28" s="97"/>
      <c r="U28" s="99"/>
      <c r="V28" s="100"/>
      <c r="W28" s="100"/>
      <c r="X28" s="100"/>
      <c r="Y28" s="100"/>
      <c r="Z28" s="99"/>
      <c r="AA28" s="100"/>
      <c r="AB28" s="100"/>
      <c r="AC28" s="100"/>
      <c r="AD28" s="100"/>
      <c r="AE28" s="99"/>
      <c r="AF28" s="100"/>
      <c r="AG28" s="100"/>
      <c r="AH28" s="100"/>
      <c r="AI28" s="100"/>
    </row>
    <row r="29" spans="1:35">
      <c r="A29" s="5"/>
      <c r="B29" s="92"/>
      <c r="C29" s="93"/>
      <c r="D29" s="112"/>
      <c r="F29" s="95"/>
      <c r="G29" s="94"/>
      <c r="H29" s="94"/>
      <c r="I29" s="94"/>
      <c r="J29" s="94"/>
      <c r="K29" s="95"/>
      <c r="L29" s="94"/>
      <c r="M29" s="94"/>
      <c r="N29" s="94"/>
      <c r="O29" s="94"/>
      <c r="P29" s="96"/>
      <c r="Q29" s="97"/>
      <c r="R29" s="98"/>
      <c r="S29" s="98"/>
      <c r="T29" s="97"/>
      <c r="U29" s="99"/>
      <c r="V29" s="100"/>
      <c r="W29" s="100"/>
      <c r="X29" s="100"/>
      <c r="Y29" s="100"/>
      <c r="Z29" s="99"/>
      <c r="AA29" s="100"/>
      <c r="AB29" s="100"/>
      <c r="AC29" s="100"/>
      <c r="AD29" s="100"/>
      <c r="AE29" s="99"/>
      <c r="AF29" s="100"/>
      <c r="AG29" s="100"/>
      <c r="AH29" s="100"/>
      <c r="AI29" s="100"/>
    </row>
    <row r="30" spans="1:35">
      <c r="A30" s="5"/>
      <c r="B30" s="92"/>
      <c r="C30" s="93"/>
      <c r="D30" s="112"/>
      <c r="F30" s="95"/>
      <c r="G30" s="94"/>
      <c r="H30" s="94"/>
      <c r="I30" s="94"/>
      <c r="J30" s="94"/>
      <c r="K30" s="95"/>
      <c r="L30" s="94"/>
      <c r="M30" s="94"/>
      <c r="N30" s="94"/>
      <c r="O30" s="94"/>
      <c r="P30" s="96"/>
      <c r="Q30" s="97"/>
      <c r="R30" s="98"/>
      <c r="S30" s="98"/>
      <c r="T30" s="97"/>
      <c r="U30" s="99"/>
      <c r="V30" s="100"/>
      <c r="W30" s="100"/>
      <c r="X30" s="100"/>
      <c r="Y30" s="100"/>
      <c r="Z30" s="99"/>
      <c r="AA30" s="100"/>
      <c r="AB30" s="100"/>
      <c r="AC30" s="100"/>
      <c r="AD30" s="100"/>
      <c r="AE30" s="99"/>
      <c r="AF30" s="100"/>
      <c r="AG30" s="100"/>
      <c r="AH30" s="100"/>
      <c r="AI30" s="100"/>
    </row>
    <row r="31" spans="1:35">
      <c r="A31" s="5"/>
      <c r="B31" s="92"/>
      <c r="C31" s="93"/>
      <c r="D31" s="112"/>
      <c r="F31" s="95"/>
      <c r="G31" s="94"/>
      <c r="H31" s="94"/>
      <c r="I31" s="94"/>
      <c r="J31" s="94"/>
      <c r="K31" s="95"/>
      <c r="L31" s="94"/>
      <c r="M31" s="94"/>
      <c r="N31" s="94"/>
      <c r="O31" s="94"/>
      <c r="P31" s="96"/>
      <c r="Q31" s="97"/>
      <c r="R31" s="98"/>
      <c r="S31" s="98"/>
      <c r="T31" s="97"/>
      <c r="U31" s="99"/>
      <c r="V31" s="100"/>
      <c r="W31" s="100"/>
      <c r="X31" s="100"/>
      <c r="Y31" s="100"/>
      <c r="Z31" s="99"/>
      <c r="AA31" s="100"/>
      <c r="AB31" s="100"/>
      <c r="AC31" s="100"/>
      <c r="AD31" s="100"/>
      <c r="AE31" s="99"/>
      <c r="AF31" s="100"/>
      <c r="AG31" s="100"/>
      <c r="AH31" s="100"/>
      <c r="AI31" s="100"/>
    </row>
    <row r="32" spans="1:35">
      <c r="A32" s="5"/>
      <c r="B32" s="92"/>
      <c r="C32" s="93"/>
      <c r="D32" s="112"/>
      <c r="F32" s="95"/>
      <c r="G32" s="94"/>
      <c r="H32" s="94"/>
      <c r="I32" s="94"/>
      <c r="J32" s="94"/>
      <c r="K32" s="95"/>
      <c r="L32" s="94"/>
      <c r="M32" s="94"/>
      <c r="N32" s="94"/>
      <c r="O32" s="94"/>
      <c r="P32" s="96"/>
      <c r="Q32" s="97"/>
      <c r="R32" s="98"/>
      <c r="S32" s="98"/>
      <c r="T32" s="97"/>
      <c r="U32" s="99"/>
      <c r="V32" s="100"/>
      <c r="W32" s="100"/>
      <c r="X32" s="100"/>
      <c r="Y32" s="100"/>
      <c r="Z32" s="99"/>
      <c r="AA32" s="100"/>
      <c r="AB32" s="100"/>
      <c r="AC32" s="100"/>
      <c r="AD32" s="100"/>
      <c r="AE32" s="99"/>
      <c r="AF32" s="100"/>
      <c r="AG32" s="100"/>
      <c r="AH32" s="100"/>
      <c r="AI32" s="100"/>
    </row>
    <row r="33" spans="1:35">
      <c r="A33" s="5"/>
      <c r="B33" s="92"/>
      <c r="C33" s="93"/>
      <c r="D33" s="112"/>
      <c r="F33" s="95"/>
      <c r="G33" s="94"/>
      <c r="H33" s="94"/>
      <c r="I33" s="94"/>
      <c r="J33" s="94"/>
      <c r="K33" s="95"/>
      <c r="L33" s="94"/>
      <c r="M33" s="94"/>
      <c r="N33" s="94"/>
      <c r="O33" s="94"/>
      <c r="P33" s="96"/>
      <c r="Q33" s="97"/>
      <c r="R33" s="98"/>
      <c r="S33" s="98"/>
      <c r="T33" s="97"/>
      <c r="U33" s="99"/>
      <c r="V33" s="100"/>
      <c r="W33" s="100"/>
      <c r="X33" s="100"/>
      <c r="Y33" s="100"/>
      <c r="Z33" s="99"/>
      <c r="AA33" s="100"/>
      <c r="AB33" s="100"/>
      <c r="AC33" s="100"/>
      <c r="AD33" s="100"/>
      <c r="AE33" s="99"/>
      <c r="AF33" s="100"/>
      <c r="AG33" s="100"/>
      <c r="AH33" s="100"/>
      <c r="AI33" s="100"/>
    </row>
    <row r="34" spans="1:35">
      <c r="A34" s="5"/>
      <c r="B34" s="92"/>
      <c r="C34" s="93"/>
      <c r="D34" s="112"/>
      <c r="F34" s="95"/>
      <c r="G34" s="94"/>
      <c r="H34" s="94"/>
      <c r="I34" s="94"/>
      <c r="J34" s="94"/>
      <c r="K34" s="95"/>
      <c r="L34" s="94"/>
      <c r="M34" s="94"/>
      <c r="N34" s="94"/>
      <c r="O34" s="94"/>
      <c r="P34" s="96"/>
      <c r="Q34" s="97"/>
      <c r="R34" s="98"/>
      <c r="S34" s="98"/>
      <c r="T34" s="97"/>
      <c r="U34" s="99"/>
      <c r="V34" s="100"/>
      <c r="W34" s="100"/>
      <c r="X34" s="100"/>
      <c r="Y34" s="100"/>
      <c r="Z34" s="99"/>
      <c r="AA34" s="100"/>
      <c r="AB34" s="100"/>
      <c r="AC34" s="100"/>
      <c r="AD34" s="100"/>
      <c r="AE34" s="99"/>
      <c r="AF34" s="100"/>
      <c r="AG34" s="100"/>
      <c r="AH34" s="100"/>
      <c r="AI34" s="100"/>
    </row>
    <row r="35" spans="1:35">
      <c r="A35" s="5"/>
      <c r="B35" s="92"/>
      <c r="C35" s="93"/>
      <c r="D35" s="112"/>
      <c r="F35" s="95"/>
      <c r="G35" s="94"/>
      <c r="H35" s="94"/>
      <c r="I35" s="94"/>
      <c r="J35" s="94"/>
      <c r="K35" s="95"/>
      <c r="L35" s="94"/>
      <c r="M35" s="94"/>
      <c r="N35" s="94"/>
      <c r="O35" s="94"/>
      <c r="P35" s="96"/>
      <c r="Q35" s="97"/>
      <c r="R35" s="98"/>
      <c r="S35" s="98"/>
      <c r="T35" s="97"/>
      <c r="U35" s="99"/>
      <c r="V35" s="100"/>
      <c r="W35" s="100"/>
      <c r="X35" s="100"/>
      <c r="Y35" s="100"/>
      <c r="Z35" s="99"/>
      <c r="AA35" s="100"/>
      <c r="AB35" s="100"/>
      <c r="AC35" s="100"/>
      <c r="AD35" s="100"/>
      <c r="AE35" s="99"/>
      <c r="AF35" s="100"/>
      <c r="AG35" s="100"/>
      <c r="AH35" s="100"/>
      <c r="AI35" s="100"/>
    </row>
    <row r="36" spans="1:35">
      <c r="A36" s="5"/>
      <c r="B36" s="92"/>
      <c r="C36" s="93"/>
      <c r="D36" s="112"/>
      <c r="F36" s="95"/>
      <c r="G36" s="94"/>
      <c r="H36" s="94"/>
      <c r="I36" s="94"/>
      <c r="J36" s="94"/>
      <c r="K36" s="95"/>
      <c r="L36" s="94"/>
      <c r="M36" s="94"/>
      <c r="N36" s="94"/>
      <c r="O36" s="94"/>
      <c r="P36" s="96"/>
      <c r="Q36" s="97"/>
      <c r="R36" s="98"/>
      <c r="S36" s="98"/>
      <c r="T36" s="97"/>
      <c r="U36" s="99"/>
      <c r="V36" s="100"/>
      <c r="W36" s="100"/>
      <c r="X36" s="100"/>
      <c r="Y36" s="100"/>
      <c r="Z36" s="99"/>
      <c r="AA36" s="100"/>
      <c r="AB36" s="100"/>
      <c r="AC36" s="100"/>
      <c r="AD36" s="100"/>
      <c r="AE36" s="99"/>
      <c r="AF36" s="100"/>
      <c r="AG36" s="100"/>
      <c r="AH36" s="100"/>
      <c r="AI36" s="100"/>
    </row>
    <row r="37" spans="1:35">
      <c r="A37" s="5"/>
      <c r="B37" s="92"/>
      <c r="C37" s="93"/>
      <c r="D37" s="112"/>
      <c r="F37" s="95"/>
      <c r="G37" s="94"/>
      <c r="H37" s="94"/>
      <c r="I37" s="94"/>
      <c r="J37" s="94"/>
      <c r="K37" s="95"/>
      <c r="L37" s="94"/>
      <c r="M37" s="94"/>
      <c r="N37" s="94"/>
      <c r="O37" s="94"/>
      <c r="P37" s="96"/>
      <c r="Q37" s="97"/>
      <c r="R37" s="98"/>
      <c r="S37" s="98"/>
      <c r="T37" s="97"/>
      <c r="U37" s="99"/>
      <c r="V37" s="100"/>
      <c r="W37" s="100"/>
      <c r="X37" s="100"/>
      <c r="Y37" s="100"/>
      <c r="Z37" s="99"/>
      <c r="AA37" s="100"/>
      <c r="AB37" s="100"/>
      <c r="AC37" s="100"/>
      <c r="AD37" s="100"/>
      <c r="AE37" s="99"/>
      <c r="AF37" s="100"/>
      <c r="AG37" s="100"/>
      <c r="AH37" s="100"/>
      <c r="AI37" s="100"/>
    </row>
    <row r="38" spans="1:35">
      <c r="A38" s="5"/>
      <c r="B38" s="92"/>
      <c r="C38" s="93"/>
      <c r="D38" s="112"/>
      <c r="F38" s="95"/>
      <c r="G38" s="94"/>
      <c r="H38" s="94"/>
      <c r="I38" s="94"/>
      <c r="J38" s="94"/>
      <c r="K38" s="95"/>
      <c r="L38" s="94"/>
      <c r="M38" s="94"/>
      <c r="N38" s="94"/>
      <c r="O38" s="94"/>
      <c r="P38" s="96"/>
      <c r="Q38" s="97"/>
      <c r="R38" s="98"/>
      <c r="S38" s="98"/>
      <c r="T38" s="97"/>
      <c r="U38" s="99"/>
      <c r="V38" s="100"/>
      <c r="W38" s="100"/>
      <c r="X38" s="100"/>
      <c r="Y38" s="100"/>
      <c r="Z38" s="99"/>
      <c r="AA38" s="100"/>
      <c r="AB38" s="100"/>
      <c r="AC38" s="100"/>
      <c r="AD38" s="100"/>
      <c r="AE38" s="99"/>
      <c r="AF38" s="100"/>
      <c r="AG38" s="100"/>
      <c r="AH38" s="100"/>
      <c r="AI38" s="100"/>
    </row>
    <row r="39" spans="1:35">
      <c r="A39" s="5"/>
      <c r="B39" s="92"/>
      <c r="C39" s="93"/>
      <c r="D39" s="112"/>
      <c r="F39" s="95"/>
      <c r="G39" s="94"/>
      <c r="H39" s="94"/>
      <c r="I39" s="94"/>
      <c r="J39" s="94"/>
      <c r="K39" s="95"/>
      <c r="L39" s="94"/>
      <c r="M39" s="94"/>
      <c r="N39" s="94"/>
      <c r="O39" s="94"/>
      <c r="P39" s="96"/>
      <c r="Q39" s="97"/>
      <c r="R39" s="98"/>
      <c r="S39" s="98"/>
      <c r="T39" s="97"/>
      <c r="U39" s="99"/>
      <c r="V39" s="100"/>
      <c r="W39" s="100"/>
      <c r="X39" s="100"/>
      <c r="Y39" s="100"/>
      <c r="Z39" s="99"/>
      <c r="AA39" s="100"/>
      <c r="AB39" s="100"/>
      <c r="AC39" s="100"/>
      <c r="AD39" s="100"/>
      <c r="AE39" s="99"/>
      <c r="AF39" s="100"/>
      <c r="AG39" s="100"/>
      <c r="AH39" s="100"/>
      <c r="AI39" s="100"/>
    </row>
    <row r="40" spans="1:35">
      <c r="A40" s="5"/>
      <c r="B40" s="92"/>
      <c r="C40" s="93"/>
      <c r="D40" s="112"/>
      <c r="F40" s="95"/>
      <c r="G40" s="94"/>
      <c r="H40" s="94"/>
      <c r="I40" s="94"/>
      <c r="J40" s="94"/>
      <c r="K40" s="95"/>
      <c r="L40" s="94"/>
      <c r="M40" s="94"/>
      <c r="N40" s="94"/>
      <c r="O40" s="94"/>
      <c r="P40" s="96"/>
      <c r="Q40" s="97"/>
      <c r="R40" s="98"/>
      <c r="S40" s="98"/>
      <c r="T40" s="97"/>
      <c r="U40" s="99"/>
      <c r="V40" s="100"/>
      <c r="W40" s="100"/>
      <c r="X40" s="100"/>
      <c r="Y40" s="100"/>
      <c r="Z40" s="99"/>
      <c r="AA40" s="100"/>
      <c r="AB40" s="100"/>
      <c r="AC40" s="100"/>
      <c r="AD40" s="100"/>
      <c r="AE40" s="99"/>
      <c r="AF40" s="100"/>
      <c r="AG40" s="100"/>
      <c r="AH40" s="100"/>
      <c r="AI40" s="100"/>
    </row>
    <row r="41" spans="1:35">
      <c r="A41" s="5"/>
      <c r="B41" s="92"/>
      <c r="C41" s="93"/>
      <c r="D41" s="112"/>
      <c r="F41" s="95"/>
      <c r="G41" s="94"/>
      <c r="H41" s="94"/>
      <c r="I41" s="94"/>
      <c r="J41" s="94"/>
      <c r="K41" s="95"/>
      <c r="L41" s="94"/>
      <c r="M41" s="94"/>
      <c r="N41" s="94"/>
      <c r="O41" s="94"/>
      <c r="P41" s="96"/>
      <c r="Q41" s="97"/>
      <c r="R41" s="98"/>
      <c r="S41" s="98"/>
      <c r="T41" s="97"/>
      <c r="U41" s="99"/>
      <c r="V41" s="100"/>
      <c r="W41" s="100"/>
      <c r="X41" s="100"/>
      <c r="Y41" s="100"/>
      <c r="Z41" s="99"/>
      <c r="AA41" s="100"/>
      <c r="AB41" s="100"/>
      <c r="AC41" s="100"/>
      <c r="AD41" s="100"/>
      <c r="AE41" s="99"/>
      <c r="AF41" s="100"/>
      <c r="AG41" s="100"/>
      <c r="AH41" s="100"/>
      <c r="AI41" s="100"/>
    </row>
    <row r="42" spans="1:35">
      <c r="A42" s="5"/>
      <c r="B42" s="92"/>
      <c r="C42" s="93"/>
      <c r="D42" s="112"/>
      <c r="F42" s="95"/>
      <c r="G42" s="94"/>
      <c r="H42" s="94"/>
      <c r="I42" s="94"/>
      <c r="J42" s="94"/>
      <c r="K42" s="95"/>
      <c r="L42" s="94"/>
      <c r="M42" s="94"/>
      <c r="N42" s="94"/>
      <c r="O42" s="94"/>
      <c r="P42" s="96"/>
      <c r="Q42" s="97"/>
      <c r="R42" s="98"/>
      <c r="S42" s="98"/>
      <c r="T42" s="97"/>
      <c r="U42" s="99"/>
      <c r="V42" s="100"/>
      <c r="W42" s="100"/>
      <c r="X42" s="100"/>
      <c r="Y42" s="100"/>
      <c r="Z42" s="99"/>
      <c r="AA42" s="100"/>
      <c r="AB42" s="100"/>
      <c r="AC42" s="100"/>
      <c r="AD42" s="100"/>
      <c r="AE42" s="99"/>
      <c r="AF42" s="100"/>
      <c r="AG42" s="100"/>
      <c r="AH42" s="100"/>
      <c r="AI42" s="100"/>
    </row>
    <row r="43" spans="1:35">
      <c r="A43" s="5"/>
      <c r="B43" s="92"/>
      <c r="C43" s="93"/>
      <c r="D43" s="112"/>
      <c r="F43" s="95"/>
      <c r="G43" s="94"/>
      <c r="H43" s="94"/>
      <c r="I43" s="94"/>
      <c r="J43" s="94"/>
      <c r="K43" s="95"/>
      <c r="L43" s="94"/>
      <c r="M43" s="94"/>
      <c r="N43" s="94"/>
      <c r="O43" s="94"/>
      <c r="P43" s="96"/>
      <c r="Q43" s="97"/>
      <c r="R43" s="98"/>
      <c r="S43" s="98"/>
      <c r="T43" s="97"/>
      <c r="U43" s="99"/>
      <c r="V43" s="100"/>
      <c r="W43" s="100"/>
      <c r="X43" s="100"/>
      <c r="Y43" s="100"/>
      <c r="Z43" s="99"/>
      <c r="AA43" s="100"/>
      <c r="AB43" s="100"/>
      <c r="AC43" s="100"/>
      <c r="AD43" s="100"/>
      <c r="AE43" s="99"/>
      <c r="AF43" s="100"/>
      <c r="AG43" s="100"/>
      <c r="AH43" s="100"/>
      <c r="AI43" s="100"/>
    </row>
    <row r="44" spans="1:35">
      <c r="A44" s="5"/>
      <c r="B44" s="92"/>
      <c r="C44" s="93"/>
      <c r="D44" s="112"/>
      <c r="F44" s="95"/>
      <c r="G44" s="94"/>
      <c r="H44" s="94"/>
      <c r="I44" s="94"/>
      <c r="J44" s="94"/>
      <c r="K44" s="95"/>
      <c r="L44" s="94"/>
      <c r="M44" s="94"/>
      <c r="N44" s="94"/>
      <c r="O44" s="94"/>
      <c r="P44" s="96"/>
      <c r="Q44" s="97"/>
      <c r="R44" s="98"/>
      <c r="S44" s="98"/>
      <c r="T44" s="97"/>
      <c r="U44" s="99"/>
      <c r="V44" s="100"/>
      <c r="W44" s="100"/>
      <c r="X44" s="100"/>
      <c r="Y44" s="100"/>
      <c r="Z44" s="99"/>
      <c r="AA44" s="100"/>
      <c r="AB44" s="100"/>
      <c r="AC44" s="100"/>
      <c r="AD44" s="100"/>
      <c r="AE44" s="99"/>
      <c r="AF44" s="100"/>
      <c r="AG44" s="100"/>
      <c r="AH44" s="100"/>
      <c r="AI44" s="100"/>
    </row>
    <row r="45" spans="1:35">
      <c r="A45" s="5"/>
      <c r="B45" s="92"/>
      <c r="C45" s="93"/>
      <c r="D45" s="112"/>
      <c r="F45" s="95"/>
      <c r="G45" s="94"/>
      <c r="H45" s="94"/>
      <c r="I45" s="94"/>
      <c r="J45" s="94"/>
      <c r="K45" s="95"/>
      <c r="L45" s="94"/>
      <c r="M45" s="94"/>
      <c r="N45" s="94"/>
      <c r="O45" s="94"/>
      <c r="P45" s="96"/>
      <c r="Q45" s="97"/>
      <c r="R45" s="98"/>
      <c r="S45" s="98"/>
      <c r="T45" s="97"/>
      <c r="U45" s="99"/>
      <c r="V45" s="100"/>
      <c r="W45" s="100"/>
      <c r="X45" s="100"/>
      <c r="Y45" s="100"/>
      <c r="Z45" s="99"/>
      <c r="AA45" s="100"/>
      <c r="AB45" s="100"/>
      <c r="AC45" s="100"/>
      <c r="AD45" s="100"/>
      <c r="AE45" s="99"/>
      <c r="AF45" s="100"/>
      <c r="AG45" s="100"/>
      <c r="AH45" s="100"/>
      <c r="AI45" s="100"/>
    </row>
    <row r="46" spans="1:35">
      <c r="A46" s="5"/>
      <c r="B46" s="92"/>
      <c r="C46" s="93"/>
      <c r="D46" s="112"/>
      <c r="F46" s="95"/>
      <c r="G46" s="94"/>
      <c r="H46" s="94"/>
      <c r="I46" s="94"/>
      <c r="J46" s="94"/>
      <c r="K46" s="95"/>
      <c r="L46" s="94"/>
      <c r="M46" s="94"/>
      <c r="N46" s="94"/>
      <c r="O46" s="94"/>
      <c r="P46" s="96"/>
      <c r="Q46" s="97"/>
      <c r="R46" s="98"/>
      <c r="S46" s="98"/>
      <c r="T46" s="97"/>
      <c r="U46" s="99"/>
      <c r="V46" s="100"/>
      <c r="W46" s="100"/>
      <c r="X46" s="100"/>
      <c r="Y46" s="100"/>
      <c r="Z46" s="99"/>
      <c r="AA46" s="100"/>
      <c r="AB46" s="100"/>
      <c r="AC46" s="100"/>
      <c r="AD46" s="100"/>
      <c r="AE46" s="99"/>
      <c r="AF46" s="100"/>
      <c r="AG46" s="100"/>
      <c r="AH46" s="100"/>
      <c r="AI46" s="100"/>
    </row>
    <row r="47" spans="1:35">
      <c r="A47" s="5"/>
      <c r="B47" s="92"/>
      <c r="C47" s="93"/>
      <c r="D47" s="112"/>
      <c r="F47" s="95"/>
      <c r="G47" s="94"/>
      <c r="H47" s="94"/>
      <c r="I47" s="94"/>
      <c r="J47" s="94"/>
      <c r="K47" s="95"/>
      <c r="L47" s="94"/>
      <c r="M47" s="94"/>
      <c r="N47" s="94"/>
      <c r="O47" s="94"/>
      <c r="P47" s="96"/>
      <c r="Q47" s="97"/>
      <c r="R47" s="98"/>
      <c r="S47" s="98"/>
      <c r="T47" s="97"/>
      <c r="U47" s="99"/>
      <c r="V47" s="100"/>
      <c r="W47" s="100"/>
      <c r="X47" s="100"/>
      <c r="Y47" s="100"/>
      <c r="Z47" s="99"/>
      <c r="AA47" s="100"/>
      <c r="AB47" s="100"/>
      <c r="AC47" s="100"/>
      <c r="AD47" s="100"/>
      <c r="AE47" s="99"/>
      <c r="AF47" s="100"/>
      <c r="AG47" s="100"/>
      <c r="AH47" s="100"/>
      <c r="AI47" s="100"/>
    </row>
    <row r="48" spans="1:35">
      <c r="A48" s="5"/>
      <c r="B48" s="92"/>
      <c r="C48" s="93"/>
      <c r="D48" s="112"/>
      <c r="F48" s="95"/>
      <c r="G48" s="94"/>
      <c r="H48" s="94"/>
      <c r="I48" s="94"/>
      <c r="J48" s="94"/>
      <c r="K48" s="95"/>
      <c r="L48" s="94"/>
      <c r="M48" s="94"/>
      <c r="N48" s="94"/>
      <c r="O48" s="94"/>
      <c r="P48" s="96"/>
      <c r="Q48" s="97"/>
      <c r="R48" s="98"/>
      <c r="S48" s="98"/>
      <c r="T48" s="97"/>
      <c r="U48" s="99"/>
      <c r="V48" s="100"/>
      <c r="W48" s="100"/>
      <c r="X48" s="100"/>
      <c r="Y48" s="100"/>
      <c r="Z48" s="99"/>
      <c r="AA48" s="100"/>
      <c r="AB48" s="100"/>
      <c r="AC48" s="100"/>
      <c r="AD48" s="100"/>
      <c r="AE48" s="99"/>
      <c r="AF48" s="100"/>
      <c r="AG48" s="100"/>
      <c r="AH48" s="100"/>
      <c r="AI48" s="100"/>
    </row>
    <row r="49" spans="1:35">
      <c r="A49" s="5"/>
      <c r="B49" s="92"/>
      <c r="C49" s="93"/>
      <c r="D49" s="112"/>
      <c r="F49" s="95"/>
      <c r="G49" s="94"/>
      <c r="H49" s="94"/>
      <c r="I49" s="94"/>
      <c r="J49" s="94"/>
      <c r="K49" s="95"/>
      <c r="L49" s="94"/>
      <c r="M49" s="94"/>
      <c r="N49" s="94"/>
      <c r="O49" s="94"/>
      <c r="P49" s="96"/>
      <c r="Q49" s="97"/>
      <c r="R49" s="98"/>
      <c r="S49" s="98"/>
      <c r="T49" s="97"/>
      <c r="U49" s="99"/>
      <c r="V49" s="100"/>
      <c r="W49" s="100"/>
      <c r="X49" s="100"/>
      <c r="Y49" s="100"/>
      <c r="Z49" s="99"/>
      <c r="AA49" s="100"/>
      <c r="AB49" s="100"/>
      <c r="AC49" s="100"/>
      <c r="AD49" s="100"/>
      <c r="AE49" s="99"/>
      <c r="AF49" s="100"/>
      <c r="AG49" s="100"/>
      <c r="AH49" s="100"/>
      <c r="AI49" s="100"/>
    </row>
    <row r="50" spans="1:35">
      <c r="A50" s="5"/>
      <c r="B50" s="92"/>
      <c r="C50" s="93"/>
      <c r="D50" s="112"/>
      <c r="F50" s="95"/>
      <c r="G50" s="94"/>
      <c r="H50" s="94"/>
      <c r="I50" s="94"/>
      <c r="J50" s="94"/>
      <c r="K50" s="95"/>
      <c r="L50" s="94"/>
      <c r="M50" s="94"/>
      <c r="N50" s="94"/>
      <c r="O50" s="94"/>
      <c r="P50" s="96"/>
      <c r="Q50" s="97"/>
      <c r="R50" s="98"/>
      <c r="S50" s="98"/>
      <c r="T50" s="97"/>
      <c r="U50" s="99"/>
      <c r="V50" s="100"/>
      <c r="W50" s="100"/>
      <c r="X50" s="100"/>
      <c r="Y50" s="100"/>
      <c r="Z50" s="99"/>
      <c r="AA50" s="100"/>
      <c r="AB50" s="100"/>
      <c r="AC50" s="100"/>
      <c r="AD50" s="100"/>
      <c r="AE50" s="99"/>
      <c r="AF50" s="100"/>
      <c r="AG50" s="100"/>
      <c r="AH50" s="100"/>
      <c r="AI50" s="100"/>
    </row>
    <row r="51" spans="1:35">
      <c r="A51" s="5"/>
      <c r="B51" s="92"/>
      <c r="C51" s="93"/>
      <c r="D51" s="112"/>
      <c r="F51" s="95"/>
      <c r="G51" s="94"/>
      <c r="H51" s="94"/>
      <c r="I51" s="94"/>
      <c r="J51" s="94"/>
      <c r="K51" s="95"/>
      <c r="L51" s="94"/>
      <c r="M51" s="94"/>
      <c r="N51" s="94"/>
      <c r="O51" s="94"/>
      <c r="P51" s="96"/>
      <c r="Q51" s="97"/>
      <c r="R51" s="98"/>
      <c r="S51" s="98"/>
      <c r="T51" s="97"/>
      <c r="U51" s="99"/>
      <c r="V51" s="100"/>
      <c r="W51" s="100"/>
      <c r="X51" s="100"/>
      <c r="Y51" s="100"/>
      <c r="Z51" s="99"/>
      <c r="AA51" s="100"/>
      <c r="AB51" s="100"/>
      <c r="AC51" s="100"/>
      <c r="AD51" s="100"/>
      <c r="AE51" s="99"/>
      <c r="AF51" s="100"/>
      <c r="AG51" s="100"/>
      <c r="AH51" s="100"/>
      <c r="AI51" s="100"/>
    </row>
    <row r="52" spans="1:35">
      <c r="A52" s="5"/>
      <c r="B52" s="92"/>
      <c r="C52" s="93"/>
      <c r="D52" s="112"/>
      <c r="F52" s="95"/>
      <c r="G52" s="94"/>
      <c r="H52" s="94"/>
      <c r="I52" s="94"/>
      <c r="J52" s="94"/>
      <c r="K52" s="95"/>
      <c r="L52" s="94"/>
      <c r="M52" s="94"/>
      <c r="N52" s="94"/>
      <c r="O52" s="94"/>
      <c r="P52" s="96"/>
      <c r="Q52" s="97"/>
      <c r="R52" s="98"/>
      <c r="S52" s="98"/>
      <c r="T52" s="97"/>
      <c r="U52" s="99"/>
      <c r="V52" s="100"/>
      <c r="W52" s="100"/>
      <c r="X52" s="100"/>
      <c r="Y52" s="100"/>
      <c r="Z52" s="99"/>
      <c r="AA52" s="100"/>
      <c r="AB52" s="100"/>
      <c r="AC52" s="100"/>
      <c r="AD52" s="100"/>
      <c r="AE52" s="99"/>
      <c r="AF52" s="100"/>
      <c r="AG52" s="100"/>
      <c r="AH52" s="100"/>
      <c r="AI52" s="100"/>
    </row>
    <row r="53" spans="1:35">
      <c r="A53" s="5"/>
      <c r="B53" s="92"/>
      <c r="C53" s="93"/>
      <c r="D53" s="112"/>
      <c r="F53" s="95"/>
      <c r="G53" s="94"/>
      <c r="H53" s="94"/>
      <c r="I53" s="94"/>
      <c r="J53" s="94"/>
      <c r="K53" s="95"/>
      <c r="L53" s="94"/>
      <c r="M53" s="94"/>
      <c r="N53" s="94"/>
      <c r="O53" s="94"/>
      <c r="P53" s="96"/>
      <c r="Q53" s="97"/>
      <c r="R53" s="98"/>
      <c r="S53" s="98"/>
      <c r="T53" s="97"/>
      <c r="U53" s="99"/>
      <c r="V53" s="100"/>
      <c r="W53" s="100"/>
      <c r="X53" s="100"/>
      <c r="Y53" s="100"/>
      <c r="Z53" s="99"/>
      <c r="AA53" s="100"/>
      <c r="AB53" s="100"/>
      <c r="AC53" s="100"/>
      <c r="AD53" s="100"/>
      <c r="AE53" s="99"/>
      <c r="AF53" s="100"/>
      <c r="AG53" s="100"/>
      <c r="AH53" s="100"/>
      <c r="AI53" s="100"/>
    </row>
    <row r="54" spans="1:35">
      <c r="A54" s="5"/>
      <c r="B54" s="92"/>
      <c r="C54" s="93"/>
      <c r="D54" s="112"/>
      <c r="F54" s="95"/>
      <c r="G54" s="94"/>
      <c r="H54" s="94"/>
      <c r="I54" s="94"/>
      <c r="J54" s="94"/>
      <c r="K54" s="95"/>
      <c r="L54" s="94"/>
      <c r="M54" s="94"/>
      <c r="N54" s="94"/>
      <c r="O54" s="94"/>
      <c r="P54" s="96"/>
      <c r="Q54" s="97"/>
      <c r="R54" s="98"/>
      <c r="S54" s="98"/>
      <c r="T54" s="97"/>
      <c r="U54" s="99"/>
      <c r="V54" s="100"/>
      <c r="W54" s="100"/>
      <c r="X54" s="100"/>
      <c r="Y54" s="100"/>
      <c r="Z54" s="99"/>
      <c r="AA54" s="100"/>
      <c r="AB54" s="100"/>
      <c r="AC54" s="100"/>
      <c r="AD54" s="100"/>
      <c r="AE54" s="99"/>
      <c r="AF54" s="100"/>
      <c r="AG54" s="100"/>
      <c r="AH54" s="100"/>
      <c r="AI54" s="100"/>
    </row>
    <row r="55" spans="1:35">
      <c r="A55" s="5"/>
      <c r="B55" s="92"/>
      <c r="C55" s="93"/>
      <c r="D55" s="112"/>
      <c r="F55" s="95"/>
      <c r="G55" s="94"/>
      <c r="H55" s="94"/>
      <c r="I55" s="94"/>
      <c r="J55" s="94"/>
      <c r="K55" s="95"/>
      <c r="L55" s="94"/>
      <c r="M55" s="94"/>
      <c r="N55" s="94"/>
      <c r="O55" s="94"/>
      <c r="P55" s="96"/>
      <c r="Q55" s="97"/>
      <c r="R55" s="98"/>
      <c r="S55" s="98"/>
      <c r="T55" s="97"/>
      <c r="U55" s="99"/>
      <c r="V55" s="100"/>
      <c r="W55" s="100"/>
      <c r="X55" s="100"/>
      <c r="Y55" s="100"/>
      <c r="Z55" s="99"/>
      <c r="AA55" s="100"/>
      <c r="AB55" s="100"/>
      <c r="AC55" s="100"/>
      <c r="AD55" s="100"/>
      <c r="AE55" s="99"/>
      <c r="AF55" s="100"/>
      <c r="AG55" s="100"/>
      <c r="AH55" s="100"/>
      <c r="AI55" s="100"/>
    </row>
    <row r="56" spans="1:35">
      <c r="A56" s="5"/>
      <c r="B56" s="92"/>
      <c r="C56" s="93"/>
      <c r="D56" s="112"/>
      <c r="F56" s="95"/>
      <c r="G56" s="94"/>
      <c r="H56" s="94"/>
      <c r="I56" s="94"/>
      <c r="J56" s="94"/>
      <c r="K56" s="95"/>
      <c r="L56" s="94"/>
      <c r="M56" s="94"/>
      <c r="N56" s="94"/>
      <c r="O56" s="94"/>
      <c r="P56" s="96"/>
      <c r="Q56" s="97"/>
      <c r="R56" s="98"/>
      <c r="S56" s="98"/>
      <c r="T56" s="97"/>
      <c r="U56" s="99"/>
      <c r="V56" s="100"/>
      <c r="W56" s="100"/>
      <c r="X56" s="100"/>
      <c r="Y56" s="100"/>
      <c r="Z56" s="99"/>
      <c r="AA56" s="100"/>
      <c r="AB56" s="100"/>
      <c r="AC56" s="100"/>
      <c r="AD56" s="100"/>
      <c r="AE56" s="99"/>
      <c r="AF56" s="100"/>
      <c r="AG56" s="100"/>
      <c r="AH56" s="100"/>
      <c r="AI56" s="100"/>
    </row>
    <row r="57" spans="1:35">
      <c r="A57" s="5"/>
      <c r="B57" s="92"/>
      <c r="C57" s="93"/>
      <c r="D57" s="112"/>
      <c r="F57" s="95"/>
      <c r="G57" s="94"/>
      <c r="H57" s="94"/>
      <c r="I57" s="94"/>
      <c r="J57" s="94"/>
      <c r="K57" s="95"/>
      <c r="L57" s="94"/>
      <c r="M57" s="94"/>
      <c r="N57" s="94"/>
      <c r="O57" s="94"/>
      <c r="P57" s="96"/>
      <c r="Q57" s="97"/>
      <c r="R57" s="98"/>
      <c r="S57" s="98"/>
      <c r="T57" s="97"/>
      <c r="U57" s="99"/>
      <c r="V57" s="100"/>
      <c r="W57" s="100"/>
      <c r="X57" s="100"/>
      <c r="Y57" s="100"/>
      <c r="Z57" s="99"/>
      <c r="AA57" s="100"/>
      <c r="AB57" s="100"/>
      <c r="AC57" s="100"/>
      <c r="AD57" s="100"/>
      <c r="AE57" s="99"/>
      <c r="AF57" s="100"/>
      <c r="AG57" s="100"/>
      <c r="AH57" s="100"/>
      <c r="AI57" s="100"/>
    </row>
    <row r="58" spans="1:35">
      <c r="A58" s="5"/>
      <c r="B58" s="92"/>
      <c r="C58" s="93"/>
      <c r="D58" s="112"/>
      <c r="F58" s="95"/>
      <c r="G58" s="94"/>
      <c r="H58" s="94"/>
      <c r="I58" s="94"/>
      <c r="J58" s="94"/>
      <c r="K58" s="95"/>
      <c r="L58" s="94"/>
      <c r="M58" s="94"/>
      <c r="N58" s="94"/>
      <c r="O58" s="94"/>
      <c r="P58" s="96"/>
      <c r="Q58" s="97"/>
      <c r="R58" s="98"/>
      <c r="S58" s="98"/>
      <c r="T58" s="97"/>
      <c r="U58" s="99"/>
      <c r="V58" s="100"/>
      <c r="W58" s="100"/>
      <c r="X58" s="100"/>
      <c r="Y58" s="100"/>
      <c r="Z58" s="99"/>
      <c r="AA58" s="100"/>
      <c r="AB58" s="100"/>
      <c r="AC58" s="100"/>
      <c r="AD58" s="100"/>
      <c r="AE58" s="99"/>
      <c r="AF58" s="100"/>
      <c r="AG58" s="100"/>
      <c r="AH58" s="100"/>
      <c r="AI58" s="100"/>
    </row>
    <row r="59" spans="1:35">
      <c r="A59" s="5"/>
      <c r="B59" s="92"/>
      <c r="C59" s="93"/>
      <c r="D59" s="112"/>
      <c r="F59" s="95"/>
      <c r="G59" s="94"/>
      <c r="H59" s="94"/>
      <c r="I59" s="94"/>
      <c r="J59" s="94"/>
      <c r="K59" s="95"/>
      <c r="L59" s="94"/>
      <c r="M59" s="94"/>
      <c r="N59" s="94"/>
      <c r="O59" s="94"/>
      <c r="P59" s="96"/>
      <c r="Q59" s="97"/>
      <c r="R59" s="98"/>
      <c r="S59" s="98"/>
      <c r="T59" s="97"/>
      <c r="U59" s="99"/>
      <c r="V59" s="100"/>
      <c r="W59" s="100"/>
      <c r="X59" s="100"/>
      <c r="Y59" s="100"/>
      <c r="Z59" s="99"/>
      <c r="AA59" s="100"/>
      <c r="AB59" s="100"/>
      <c r="AC59" s="100"/>
      <c r="AD59" s="100"/>
      <c r="AE59" s="99"/>
      <c r="AF59" s="100"/>
      <c r="AG59" s="100"/>
      <c r="AH59" s="100"/>
      <c r="AI59" s="100"/>
    </row>
    <row r="60" spans="1:35">
      <c r="A60" s="5"/>
      <c r="B60" s="92"/>
      <c r="C60" s="93"/>
      <c r="D60" s="112"/>
      <c r="F60" s="95"/>
      <c r="G60" s="94"/>
      <c r="H60" s="94"/>
      <c r="I60" s="94"/>
      <c r="J60" s="94"/>
      <c r="K60" s="95"/>
      <c r="L60" s="94"/>
      <c r="M60" s="94"/>
      <c r="N60" s="94"/>
      <c r="O60" s="94"/>
      <c r="P60" s="96"/>
      <c r="Q60" s="97"/>
      <c r="R60" s="98"/>
      <c r="S60" s="98"/>
      <c r="T60" s="97"/>
      <c r="U60" s="99"/>
      <c r="V60" s="100"/>
      <c r="W60" s="100"/>
      <c r="X60" s="100"/>
      <c r="Y60" s="100"/>
      <c r="Z60" s="99"/>
      <c r="AA60" s="100"/>
      <c r="AB60" s="100"/>
      <c r="AC60" s="100"/>
      <c r="AD60" s="100"/>
      <c r="AE60" s="99"/>
      <c r="AF60" s="100"/>
      <c r="AG60" s="100"/>
      <c r="AH60" s="100"/>
      <c r="AI60" s="100"/>
    </row>
    <row r="61" spans="1:35">
      <c r="A61" s="5"/>
      <c r="B61" s="92"/>
      <c r="C61" s="93"/>
      <c r="D61" s="112"/>
      <c r="F61" s="95"/>
      <c r="G61" s="94"/>
      <c r="H61" s="94"/>
      <c r="I61" s="94"/>
      <c r="J61" s="94"/>
      <c r="K61" s="95"/>
      <c r="L61" s="94"/>
      <c r="M61" s="94"/>
      <c r="N61" s="94"/>
      <c r="O61" s="94"/>
      <c r="P61" s="96"/>
      <c r="Q61" s="97"/>
      <c r="R61" s="98"/>
      <c r="S61" s="98"/>
      <c r="T61" s="97"/>
      <c r="U61" s="99"/>
      <c r="V61" s="100"/>
      <c r="W61" s="100"/>
      <c r="X61" s="100"/>
      <c r="Y61" s="100"/>
      <c r="Z61" s="99"/>
      <c r="AA61" s="100"/>
      <c r="AB61" s="100"/>
      <c r="AC61" s="100"/>
      <c r="AD61" s="100"/>
      <c r="AE61" s="99"/>
      <c r="AF61" s="100"/>
      <c r="AG61" s="100"/>
      <c r="AH61" s="100"/>
      <c r="AI61" s="100"/>
    </row>
    <row r="62" spans="1:35">
      <c r="A62" s="5"/>
      <c r="B62" s="92"/>
      <c r="C62" s="93"/>
      <c r="D62" s="112"/>
      <c r="F62" s="95"/>
      <c r="G62" s="94"/>
      <c r="H62" s="94"/>
      <c r="I62" s="94"/>
      <c r="J62" s="94"/>
      <c r="K62" s="95"/>
      <c r="L62" s="94"/>
      <c r="M62" s="94"/>
      <c r="N62" s="94"/>
      <c r="O62" s="94"/>
      <c r="P62" s="96"/>
      <c r="Q62" s="97"/>
      <c r="R62" s="98"/>
      <c r="S62" s="98"/>
      <c r="T62" s="97"/>
      <c r="U62" s="99"/>
      <c r="V62" s="100"/>
      <c r="W62" s="100"/>
      <c r="X62" s="100"/>
      <c r="Y62" s="100"/>
      <c r="Z62" s="99"/>
      <c r="AA62" s="100"/>
      <c r="AB62" s="100"/>
      <c r="AC62" s="100"/>
      <c r="AD62" s="100"/>
      <c r="AE62" s="99"/>
      <c r="AF62" s="100"/>
      <c r="AG62" s="100"/>
      <c r="AH62" s="100"/>
      <c r="AI62" s="100"/>
    </row>
    <row r="63" spans="1:35">
      <c r="A63" s="5"/>
      <c r="B63" s="92"/>
      <c r="C63" s="93"/>
      <c r="D63" s="112"/>
      <c r="F63" s="95"/>
      <c r="G63" s="94"/>
      <c r="H63" s="94"/>
      <c r="I63" s="94"/>
      <c r="J63" s="94"/>
      <c r="K63" s="95"/>
      <c r="L63" s="94"/>
      <c r="M63" s="94"/>
      <c r="N63" s="94"/>
      <c r="O63" s="94"/>
      <c r="P63" s="96"/>
      <c r="Q63" s="97"/>
      <c r="R63" s="98"/>
      <c r="S63" s="98"/>
      <c r="T63" s="97"/>
      <c r="U63" s="99"/>
      <c r="V63" s="100"/>
      <c r="W63" s="100"/>
      <c r="X63" s="100"/>
      <c r="Y63" s="100"/>
      <c r="Z63" s="99"/>
      <c r="AA63" s="100"/>
      <c r="AB63" s="100"/>
      <c r="AC63" s="100"/>
      <c r="AD63" s="100"/>
      <c r="AE63" s="99"/>
      <c r="AF63" s="100"/>
      <c r="AG63" s="100"/>
      <c r="AH63" s="100"/>
      <c r="AI63" s="100"/>
    </row>
    <row r="64" spans="1:35">
      <c r="A64" s="5"/>
      <c r="B64" s="92"/>
      <c r="C64" s="93"/>
      <c r="D64" s="112"/>
      <c r="F64" s="95"/>
      <c r="G64" s="94"/>
      <c r="H64" s="94"/>
      <c r="I64" s="94"/>
      <c r="J64" s="94"/>
      <c r="K64" s="95"/>
      <c r="L64" s="94"/>
      <c r="M64" s="94"/>
      <c r="N64" s="94"/>
      <c r="O64" s="94"/>
      <c r="P64" s="96"/>
      <c r="Q64" s="97"/>
      <c r="R64" s="98"/>
      <c r="S64" s="98"/>
      <c r="T64" s="97"/>
      <c r="U64" s="99"/>
      <c r="V64" s="100"/>
      <c r="W64" s="100"/>
      <c r="X64" s="100"/>
      <c r="Y64" s="100"/>
      <c r="Z64" s="99"/>
      <c r="AA64" s="100"/>
      <c r="AB64" s="100"/>
      <c r="AC64" s="100"/>
      <c r="AD64" s="100"/>
      <c r="AE64" s="99"/>
      <c r="AF64" s="100"/>
      <c r="AG64" s="100"/>
      <c r="AH64" s="100"/>
      <c r="AI64" s="100"/>
    </row>
    <row r="65" spans="1:35">
      <c r="A65" s="5"/>
      <c r="B65" s="92"/>
      <c r="C65" s="93"/>
      <c r="D65" s="112"/>
      <c r="F65" s="95"/>
      <c r="G65" s="94"/>
      <c r="H65" s="94"/>
      <c r="I65" s="94"/>
      <c r="J65" s="94"/>
      <c r="K65" s="95"/>
      <c r="L65" s="94"/>
      <c r="M65" s="94"/>
      <c r="N65" s="94"/>
      <c r="O65" s="94"/>
      <c r="P65" s="96"/>
      <c r="Q65" s="97"/>
      <c r="R65" s="98"/>
      <c r="S65" s="98"/>
      <c r="T65" s="97"/>
      <c r="U65" s="99"/>
      <c r="V65" s="100"/>
      <c r="W65" s="100"/>
      <c r="X65" s="100"/>
      <c r="Y65" s="100"/>
      <c r="Z65" s="99"/>
      <c r="AA65" s="100"/>
      <c r="AB65" s="100"/>
      <c r="AC65" s="100"/>
      <c r="AD65" s="100"/>
      <c r="AE65" s="99"/>
      <c r="AF65" s="100"/>
      <c r="AG65" s="100"/>
      <c r="AH65" s="100"/>
      <c r="AI65" s="100"/>
    </row>
    <row r="66" spans="1:35">
      <c r="A66" s="5"/>
      <c r="B66" s="92"/>
      <c r="C66" s="93"/>
      <c r="D66" s="112"/>
      <c r="F66" s="95"/>
      <c r="G66" s="94"/>
      <c r="H66" s="94"/>
      <c r="I66" s="94"/>
      <c r="J66" s="94"/>
      <c r="K66" s="95"/>
      <c r="L66" s="94"/>
      <c r="M66" s="94"/>
      <c r="N66" s="94"/>
      <c r="O66" s="94"/>
      <c r="P66" s="96"/>
      <c r="Q66" s="97"/>
      <c r="R66" s="98"/>
      <c r="S66" s="98"/>
      <c r="T66" s="97"/>
      <c r="U66" s="99"/>
      <c r="V66" s="100"/>
      <c r="W66" s="100"/>
      <c r="X66" s="100"/>
      <c r="Y66" s="100"/>
      <c r="Z66" s="99"/>
      <c r="AA66" s="100"/>
      <c r="AB66" s="100"/>
      <c r="AC66" s="100"/>
      <c r="AD66" s="100"/>
      <c r="AE66" s="99"/>
      <c r="AF66" s="100"/>
      <c r="AG66" s="100"/>
      <c r="AH66" s="100"/>
      <c r="AI66" s="100"/>
    </row>
    <row r="67" spans="1:35">
      <c r="A67" s="5"/>
      <c r="B67" s="92"/>
      <c r="C67" s="93"/>
      <c r="D67" s="112"/>
      <c r="F67" s="95"/>
      <c r="G67" s="94"/>
      <c r="H67" s="94"/>
      <c r="I67" s="94"/>
      <c r="J67" s="94"/>
      <c r="K67" s="95"/>
      <c r="L67" s="94"/>
      <c r="M67" s="94"/>
      <c r="N67" s="94"/>
      <c r="O67" s="94"/>
      <c r="P67" s="96"/>
      <c r="Q67" s="97"/>
      <c r="R67" s="98"/>
      <c r="S67" s="98"/>
      <c r="T67" s="97"/>
      <c r="U67" s="99"/>
      <c r="V67" s="100"/>
      <c r="W67" s="100"/>
      <c r="X67" s="100"/>
      <c r="Y67" s="100"/>
      <c r="Z67" s="99"/>
      <c r="AA67" s="100"/>
      <c r="AB67" s="100"/>
      <c r="AC67" s="100"/>
      <c r="AD67" s="100"/>
      <c r="AE67" s="99"/>
      <c r="AF67" s="100"/>
      <c r="AG67" s="100"/>
      <c r="AH67" s="100"/>
      <c r="AI67" s="100"/>
    </row>
    <row r="68" spans="1:35">
      <c r="A68" s="5"/>
      <c r="B68" s="92"/>
      <c r="C68" s="93"/>
      <c r="D68" s="112"/>
      <c r="F68" s="95"/>
      <c r="G68" s="94"/>
      <c r="H68" s="94"/>
      <c r="I68" s="94"/>
      <c r="J68" s="94"/>
      <c r="K68" s="95"/>
      <c r="L68" s="94"/>
      <c r="M68" s="94"/>
      <c r="N68" s="94"/>
      <c r="O68" s="94"/>
      <c r="P68" s="96"/>
      <c r="Q68" s="97"/>
      <c r="R68" s="98"/>
      <c r="S68" s="98"/>
      <c r="T68" s="97"/>
      <c r="U68" s="99"/>
      <c r="V68" s="100"/>
      <c r="W68" s="100"/>
      <c r="X68" s="100"/>
      <c r="Y68" s="100"/>
      <c r="Z68" s="99"/>
      <c r="AA68" s="100"/>
      <c r="AB68" s="100"/>
      <c r="AC68" s="100"/>
      <c r="AD68" s="100"/>
      <c r="AE68" s="99"/>
      <c r="AF68" s="100"/>
      <c r="AG68" s="100"/>
      <c r="AH68" s="100"/>
      <c r="AI68" s="100"/>
    </row>
    <row r="69" spans="1:35">
      <c r="A69" s="5"/>
      <c r="B69" s="92"/>
      <c r="C69" s="93"/>
      <c r="D69" s="112"/>
      <c r="F69" s="95"/>
      <c r="G69" s="94"/>
      <c r="H69" s="94"/>
      <c r="I69" s="94"/>
      <c r="J69" s="94"/>
      <c r="K69" s="95"/>
      <c r="L69" s="94"/>
      <c r="M69" s="94"/>
      <c r="N69" s="94"/>
      <c r="O69" s="94"/>
      <c r="P69" s="96"/>
      <c r="Q69" s="97"/>
      <c r="R69" s="98"/>
      <c r="S69" s="98"/>
      <c r="T69" s="97"/>
      <c r="U69" s="99"/>
      <c r="V69" s="100"/>
      <c r="W69" s="100"/>
      <c r="X69" s="100"/>
      <c r="Y69" s="100"/>
      <c r="Z69" s="99"/>
      <c r="AA69" s="100"/>
      <c r="AB69" s="100"/>
      <c r="AC69" s="100"/>
      <c r="AD69" s="100"/>
      <c r="AE69" s="99"/>
      <c r="AF69" s="100"/>
      <c r="AG69" s="100"/>
      <c r="AH69" s="100"/>
      <c r="AI69" s="100"/>
    </row>
    <row r="70" spans="1:35">
      <c r="A70" s="5"/>
      <c r="B70" s="92"/>
      <c r="C70" s="93"/>
      <c r="D70" s="112"/>
      <c r="F70" s="95"/>
      <c r="G70" s="94"/>
      <c r="H70" s="94"/>
      <c r="I70" s="94"/>
      <c r="J70" s="94"/>
      <c r="K70" s="95"/>
      <c r="L70" s="94"/>
      <c r="M70" s="94"/>
      <c r="N70" s="94"/>
      <c r="O70" s="94"/>
      <c r="P70" s="96"/>
      <c r="Q70" s="97"/>
      <c r="R70" s="98"/>
      <c r="S70" s="98"/>
      <c r="T70" s="97"/>
      <c r="U70" s="99"/>
      <c r="V70" s="100"/>
      <c r="W70" s="100"/>
      <c r="X70" s="100"/>
      <c r="Y70" s="100"/>
      <c r="Z70" s="99"/>
      <c r="AA70" s="100"/>
      <c r="AB70" s="100"/>
      <c r="AC70" s="100"/>
      <c r="AD70" s="100"/>
      <c r="AE70" s="99"/>
      <c r="AF70" s="100"/>
      <c r="AG70" s="100"/>
      <c r="AH70" s="100"/>
      <c r="AI70" s="100"/>
    </row>
    <row r="71" spans="1:35">
      <c r="A71" s="5"/>
      <c r="B71" s="92"/>
      <c r="C71" s="93"/>
      <c r="D71" s="112"/>
      <c r="F71" s="95"/>
      <c r="G71" s="94"/>
      <c r="H71" s="94"/>
      <c r="I71" s="94"/>
      <c r="J71" s="94"/>
      <c r="K71" s="95"/>
      <c r="L71" s="94"/>
      <c r="M71" s="94"/>
      <c r="N71" s="94"/>
      <c r="O71" s="94"/>
      <c r="P71" s="96"/>
      <c r="Q71" s="97"/>
      <c r="R71" s="98"/>
      <c r="S71" s="98"/>
      <c r="T71" s="97"/>
      <c r="U71" s="99"/>
      <c r="V71" s="100"/>
      <c r="W71" s="100"/>
      <c r="X71" s="100"/>
      <c r="Y71" s="100"/>
      <c r="Z71" s="99"/>
      <c r="AA71" s="100"/>
      <c r="AB71" s="100"/>
      <c r="AC71" s="100"/>
      <c r="AD71" s="100"/>
      <c r="AE71" s="99"/>
      <c r="AF71" s="100"/>
      <c r="AG71" s="100"/>
      <c r="AH71" s="100"/>
      <c r="AI71" s="100"/>
    </row>
    <row r="72" spans="1:35">
      <c r="A72" s="5"/>
      <c r="B72" s="92"/>
      <c r="C72" s="93"/>
      <c r="D72" s="112"/>
      <c r="F72" s="95"/>
      <c r="G72" s="94"/>
      <c r="H72" s="94"/>
      <c r="I72" s="94"/>
      <c r="J72" s="94"/>
      <c r="K72" s="95"/>
      <c r="L72" s="94"/>
      <c r="M72" s="94"/>
      <c r="N72" s="94"/>
      <c r="O72" s="94"/>
      <c r="P72" s="96"/>
      <c r="Q72" s="97"/>
      <c r="R72" s="98"/>
      <c r="S72" s="98"/>
      <c r="T72" s="97"/>
      <c r="U72" s="99"/>
      <c r="V72" s="100"/>
      <c r="W72" s="100"/>
      <c r="X72" s="100"/>
      <c r="Y72" s="100"/>
      <c r="Z72" s="99"/>
      <c r="AA72" s="100"/>
      <c r="AB72" s="100"/>
      <c r="AC72" s="100"/>
      <c r="AD72" s="100"/>
      <c r="AE72" s="99"/>
      <c r="AF72" s="100"/>
      <c r="AG72" s="100"/>
      <c r="AH72" s="100"/>
      <c r="AI72" s="100"/>
    </row>
    <row r="73" spans="1:35">
      <c r="A73" s="5"/>
      <c r="B73" s="92"/>
      <c r="C73" s="93"/>
      <c r="D73" s="112"/>
      <c r="F73" s="95"/>
      <c r="G73" s="94"/>
      <c r="H73" s="94"/>
      <c r="I73" s="94"/>
      <c r="J73" s="94"/>
      <c r="K73" s="95"/>
      <c r="L73" s="94"/>
      <c r="M73" s="94"/>
      <c r="N73" s="94"/>
      <c r="O73" s="94"/>
      <c r="P73" s="96"/>
      <c r="Q73" s="97"/>
      <c r="R73" s="98"/>
      <c r="S73" s="98"/>
      <c r="T73" s="97"/>
      <c r="U73" s="99"/>
      <c r="V73" s="100"/>
      <c r="W73" s="100"/>
      <c r="X73" s="100"/>
      <c r="Y73" s="100"/>
      <c r="Z73" s="99"/>
      <c r="AA73" s="100"/>
      <c r="AB73" s="100"/>
      <c r="AC73" s="100"/>
      <c r="AD73" s="100"/>
      <c r="AE73" s="99"/>
      <c r="AF73" s="100"/>
      <c r="AG73" s="100"/>
      <c r="AH73" s="100"/>
      <c r="AI73" s="100"/>
    </row>
    <row r="74" spans="1:35">
      <c r="A74" s="5"/>
      <c r="B74" s="92"/>
      <c r="C74" s="93"/>
      <c r="D74" s="112"/>
      <c r="F74" s="95"/>
      <c r="G74" s="94"/>
      <c r="H74" s="94"/>
      <c r="I74" s="94"/>
      <c r="J74" s="94"/>
      <c r="K74" s="95"/>
      <c r="L74" s="94"/>
      <c r="M74" s="94"/>
      <c r="N74" s="94"/>
      <c r="O74" s="94"/>
      <c r="P74" s="96"/>
      <c r="Q74" s="97"/>
      <c r="R74" s="98"/>
      <c r="S74" s="98"/>
      <c r="T74" s="97"/>
      <c r="U74" s="99"/>
      <c r="V74" s="100"/>
      <c r="W74" s="100"/>
      <c r="X74" s="100"/>
      <c r="Y74" s="100"/>
      <c r="Z74" s="99"/>
      <c r="AA74" s="100"/>
      <c r="AB74" s="100"/>
      <c r="AC74" s="100"/>
      <c r="AD74" s="100"/>
      <c r="AE74" s="99"/>
      <c r="AF74" s="100"/>
      <c r="AG74" s="100"/>
      <c r="AH74" s="100"/>
      <c r="AI74" s="100"/>
    </row>
    <row r="75" spans="1:35">
      <c r="A75" s="5"/>
      <c r="B75" s="92"/>
      <c r="C75" s="93"/>
      <c r="D75" s="112"/>
      <c r="F75" s="95"/>
      <c r="G75" s="94"/>
      <c r="H75" s="94"/>
      <c r="I75" s="94"/>
      <c r="J75" s="94"/>
      <c r="K75" s="95"/>
      <c r="L75" s="94"/>
      <c r="M75" s="94"/>
      <c r="N75" s="94"/>
      <c r="O75" s="94"/>
      <c r="P75" s="96"/>
      <c r="Q75" s="97"/>
      <c r="R75" s="98"/>
      <c r="S75" s="98"/>
      <c r="T75" s="97"/>
      <c r="U75" s="99"/>
      <c r="V75" s="100"/>
      <c r="W75" s="100"/>
      <c r="X75" s="100"/>
      <c r="Y75" s="100"/>
      <c r="Z75" s="99"/>
      <c r="AA75" s="100"/>
      <c r="AB75" s="100"/>
      <c r="AC75" s="100"/>
      <c r="AD75" s="100"/>
      <c r="AE75" s="99"/>
      <c r="AF75" s="100"/>
      <c r="AG75" s="100"/>
      <c r="AH75" s="100"/>
      <c r="AI75" s="100"/>
    </row>
    <row r="76" spans="1:35">
      <c r="A76" s="5"/>
      <c r="B76" s="92"/>
      <c r="C76" s="93"/>
      <c r="D76" s="112"/>
      <c r="F76" s="95"/>
      <c r="G76" s="94"/>
      <c r="H76" s="94"/>
      <c r="I76" s="94"/>
      <c r="J76" s="94"/>
      <c r="K76" s="95"/>
      <c r="L76" s="94"/>
      <c r="M76" s="94"/>
      <c r="N76" s="94"/>
      <c r="O76" s="94"/>
      <c r="P76" s="96"/>
      <c r="Q76" s="97"/>
      <c r="R76" s="98"/>
      <c r="S76" s="98"/>
      <c r="T76" s="97"/>
      <c r="U76" s="99"/>
      <c r="V76" s="100"/>
      <c r="W76" s="100"/>
      <c r="X76" s="100"/>
      <c r="Y76" s="100"/>
      <c r="Z76" s="99"/>
      <c r="AA76" s="100"/>
      <c r="AB76" s="100"/>
      <c r="AC76" s="100"/>
      <c r="AD76" s="100"/>
      <c r="AE76" s="99"/>
      <c r="AF76" s="100"/>
      <c r="AG76" s="100"/>
      <c r="AH76" s="100"/>
      <c r="AI76" s="100"/>
    </row>
    <row r="77" spans="1:35">
      <c r="A77" s="5"/>
      <c r="B77" s="92"/>
      <c r="C77" s="93"/>
      <c r="D77" s="112"/>
      <c r="F77" s="95"/>
      <c r="G77" s="94"/>
      <c r="H77" s="94"/>
      <c r="I77" s="94"/>
      <c r="J77" s="94"/>
      <c r="K77" s="95"/>
      <c r="L77" s="94"/>
      <c r="M77" s="94"/>
      <c r="N77" s="94"/>
      <c r="O77" s="94"/>
      <c r="P77" s="96"/>
      <c r="Q77" s="97"/>
      <c r="R77" s="98"/>
      <c r="S77" s="98"/>
      <c r="T77" s="97"/>
      <c r="U77" s="99"/>
      <c r="V77" s="100"/>
      <c r="W77" s="100"/>
      <c r="X77" s="100"/>
      <c r="Y77" s="100"/>
      <c r="Z77" s="99"/>
      <c r="AA77" s="100"/>
      <c r="AB77" s="100"/>
      <c r="AC77" s="100"/>
      <c r="AD77" s="100"/>
      <c r="AE77" s="99"/>
      <c r="AF77" s="100"/>
      <c r="AG77" s="100"/>
      <c r="AH77" s="100"/>
      <c r="AI77" s="100"/>
    </row>
    <row r="78" spans="1:35">
      <c r="A78" s="5"/>
      <c r="B78" s="92"/>
      <c r="C78" s="93"/>
      <c r="D78" s="112"/>
      <c r="F78" s="95"/>
      <c r="G78" s="94"/>
      <c r="H78" s="94"/>
      <c r="I78" s="94"/>
      <c r="J78" s="94"/>
      <c r="K78" s="95"/>
      <c r="L78" s="94"/>
      <c r="M78" s="94"/>
      <c r="N78" s="94"/>
      <c r="O78" s="94"/>
      <c r="P78" s="96"/>
      <c r="Q78" s="97"/>
      <c r="R78" s="98"/>
      <c r="S78" s="98"/>
      <c r="T78" s="97"/>
      <c r="U78" s="99"/>
      <c r="V78" s="100"/>
      <c r="W78" s="100"/>
      <c r="X78" s="100"/>
      <c r="Y78" s="100"/>
      <c r="Z78" s="99"/>
      <c r="AA78" s="100"/>
      <c r="AB78" s="100"/>
      <c r="AC78" s="100"/>
      <c r="AD78" s="100"/>
      <c r="AE78" s="99"/>
      <c r="AF78" s="100"/>
      <c r="AG78" s="100"/>
      <c r="AH78" s="100"/>
      <c r="AI78" s="100"/>
    </row>
    <row r="79" spans="1:35">
      <c r="A79" s="5"/>
      <c r="B79" s="92"/>
      <c r="C79" s="93"/>
      <c r="D79" s="112"/>
      <c r="F79" s="95"/>
      <c r="G79" s="94"/>
      <c r="H79" s="94"/>
      <c r="I79" s="94"/>
      <c r="J79" s="94"/>
      <c r="K79" s="95"/>
      <c r="L79" s="94"/>
      <c r="M79" s="94"/>
      <c r="N79" s="94"/>
      <c r="O79" s="94"/>
      <c r="P79" s="96"/>
      <c r="Q79" s="97"/>
      <c r="R79" s="98"/>
      <c r="S79" s="98"/>
      <c r="T79" s="97"/>
      <c r="U79" s="99"/>
      <c r="V79" s="100"/>
      <c r="W79" s="100"/>
      <c r="X79" s="100"/>
      <c r="Y79" s="100"/>
      <c r="Z79" s="99"/>
      <c r="AA79" s="100"/>
      <c r="AB79" s="100"/>
      <c r="AC79" s="100"/>
      <c r="AD79" s="100"/>
      <c r="AE79" s="99"/>
      <c r="AF79" s="100"/>
      <c r="AG79" s="100"/>
      <c r="AH79" s="100"/>
      <c r="AI79" s="100"/>
    </row>
    <row r="80" spans="1:35">
      <c r="A80" s="5"/>
      <c r="B80" s="92"/>
      <c r="C80" s="93"/>
      <c r="D80" s="112"/>
      <c r="F80" s="95"/>
      <c r="G80" s="94"/>
      <c r="H80" s="94"/>
      <c r="I80" s="94"/>
      <c r="J80" s="94"/>
      <c r="K80" s="95"/>
      <c r="L80" s="94"/>
      <c r="M80" s="94"/>
      <c r="N80" s="94"/>
      <c r="O80" s="94"/>
      <c r="P80" s="96"/>
      <c r="Q80" s="97"/>
      <c r="R80" s="98"/>
      <c r="S80" s="98"/>
      <c r="T80" s="97"/>
      <c r="U80" s="99"/>
      <c r="V80" s="100"/>
      <c r="W80" s="100"/>
      <c r="X80" s="100"/>
      <c r="Y80" s="100"/>
      <c r="Z80" s="99"/>
      <c r="AA80" s="100"/>
      <c r="AB80" s="100"/>
      <c r="AC80" s="100"/>
      <c r="AD80" s="100"/>
      <c r="AE80" s="99"/>
      <c r="AF80" s="100"/>
      <c r="AG80" s="100"/>
      <c r="AH80" s="100"/>
      <c r="AI80" s="100"/>
    </row>
    <row r="81" spans="1:35">
      <c r="A81" s="5"/>
      <c r="B81" s="92"/>
      <c r="C81" s="93"/>
      <c r="D81" s="112"/>
      <c r="F81" s="95"/>
      <c r="G81" s="94"/>
      <c r="H81" s="94"/>
      <c r="I81" s="94"/>
      <c r="J81" s="94"/>
      <c r="K81" s="95"/>
      <c r="L81" s="94"/>
      <c r="M81" s="94"/>
      <c r="N81" s="94"/>
      <c r="O81" s="94"/>
      <c r="P81" s="96"/>
      <c r="Q81" s="97"/>
      <c r="R81" s="98"/>
      <c r="S81" s="98"/>
      <c r="T81" s="97"/>
      <c r="U81" s="99"/>
      <c r="V81" s="100"/>
      <c r="W81" s="100"/>
      <c r="X81" s="100"/>
      <c r="Y81" s="100"/>
      <c r="Z81" s="99"/>
      <c r="AA81" s="100"/>
      <c r="AB81" s="100"/>
      <c r="AC81" s="100"/>
      <c r="AD81" s="100"/>
      <c r="AE81" s="99"/>
      <c r="AF81" s="100"/>
      <c r="AG81" s="100"/>
      <c r="AH81" s="100"/>
      <c r="AI81" s="100"/>
    </row>
    <row r="82" spans="1:35">
      <c r="A82" s="5"/>
      <c r="B82" s="92"/>
      <c r="C82" s="93"/>
      <c r="D82" s="112"/>
      <c r="F82" s="95"/>
      <c r="G82" s="94"/>
      <c r="H82" s="94"/>
      <c r="I82" s="94"/>
      <c r="J82" s="94"/>
      <c r="K82" s="95"/>
      <c r="L82" s="94"/>
      <c r="M82" s="94"/>
      <c r="N82" s="94"/>
      <c r="O82" s="94"/>
      <c r="P82" s="96"/>
      <c r="Q82" s="97"/>
      <c r="R82" s="98"/>
      <c r="S82" s="98"/>
      <c r="T82" s="97"/>
      <c r="U82" s="99"/>
      <c r="V82" s="100"/>
      <c r="W82" s="100"/>
      <c r="X82" s="100"/>
      <c r="Y82" s="100"/>
      <c r="Z82" s="99"/>
      <c r="AA82" s="100"/>
      <c r="AB82" s="100"/>
      <c r="AC82" s="100"/>
      <c r="AD82" s="100"/>
      <c r="AE82" s="99"/>
      <c r="AF82" s="100"/>
      <c r="AG82" s="100"/>
      <c r="AH82" s="100"/>
      <c r="AI82" s="100"/>
    </row>
    <row r="83" spans="1:35">
      <c r="A83" s="5"/>
      <c r="B83" s="92"/>
      <c r="C83" s="93"/>
      <c r="D83" s="112"/>
      <c r="F83" s="95"/>
      <c r="G83" s="94"/>
      <c r="H83" s="94"/>
      <c r="I83" s="94"/>
      <c r="J83" s="94"/>
      <c r="K83" s="95"/>
      <c r="L83" s="94"/>
      <c r="M83" s="94"/>
      <c r="N83" s="94"/>
      <c r="O83" s="94"/>
      <c r="P83" s="96"/>
      <c r="Q83" s="97"/>
      <c r="R83" s="98"/>
      <c r="S83" s="98"/>
      <c r="T83" s="97"/>
      <c r="U83" s="99"/>
      <c r="V83" s="100"/>
      <c r="W83" s="100"/>
      <c r="X83" s="100"/>
      <c r="Y83" s="100"/>
      <c r="Z83" s="99"/>
      <c r="AA83" s="100"/>
      <c r="AB83" s="100"/>
      <c r="AC83" s="100"/>
      <c r="AD83" s="100"/>
      <c r="AE83" s="99"/>
      <c r="AF83" s="100"/>
      <c r="AG83" s="100"/>
      <c r="AH83" s="100"/>
      <c r="AI83" s="100"/>
    </row>
    <row r="84" spans="1:35">
      <c r="A84" s="5"/>
      <c r="B84" s="92"/>
      <c r="C84" s="93"/>
      <c r="D84" s="112"/>
      <c r="F84" s="95"/>
      <c r="G84" s="94"/>
      <c r="H84" s="94"/>
      <c r="I84" s="94"/>
      <c r="J84" s="94"/>
      <c r="K84" s="95"/>
      <c r="L84" s="94"/>
      <c r="M84" s="94"/>
      <c r="N84" s="94"/>
      <c r="O84" s="94"/>
      <c r="P84" s="96"/>
      <c r="Q84" s="97"/>
      <c r="R84" s="98"/>
      <c r="S84" s="98"/>
      <c r="T84" s="97"/>
      <c r="U84" s="99"/>
      <c r="V84" s="100"/>
      <c r="W84" s="100"/>
      <c r="X84" s="100"/>
      <c r="Y84" s="100"/>
      <c r="Z84" s="99"/>
      <c r="AA84" s="100"/>
      <c r="AB84" s="100"/>
      <c r="AC84" s="100"/>
      <c r="AD84" s="100"/>
      <c r="AE84" s="99"/>
      <c r="AF84" s="100"/>
      <c r="AG84" s="100"/>
      <c r="AH84" s="100"/>
      <c r="AI84" s="100"/>
    </row>
    <row r="85" spans="1:35">
      <c r="A85" s="5"/>
      <c r="B85" s="92"/>
      <c r="C85" s="93"/>
      <c r="D85" s="112"/>
      <c r="F85" s="95"/>
      <c r="G85" s="94"/>
      <c r="H85" s="94"/>
      <c r="I85" s="94"/>
      <c r="J85" s="94"/>
      <c r="K85" s="95"/>
      <c r="L85" s="94"/>
      <c r="M85" s="94"/>
      <c r="N85" s="94"/>
      <c r="O85" s="94"/>
      <c r="P85" s="96"/>
      <c r="Q85" s="97"/>
      <c r="R85" s="98"/>
      <c r="S85" s="98"/>
      <c r="T85" s="97"/>
      <c r="U85" s="99"/>
      <c r="V85" s="100"/>
      <c r="W85" s="100"/>
      <c r="X85" s="100"/>
      <c r="Y85" s="100"/>
      <c r="Z85" s="99"/>
      <c r="AA85" s="100"/>
      <c r="AB85" s="100"/>
      <c r="AC85" s="100"/>
      <c r="AD85" s="100"/>
      <c r="AE85" s="99"/>
      <c r="AF85" s="100"/>
      <c r="AG85" s="100"/>
      <c r="AH85" s="100"/>
      <c r="AI85" s="100"/>
    </row>
    <row r="86" spans="1:35">
      <c r="A86" s="5"/>
      <c r="B86" s="92"/>
      <c r="C86" s="93"/>
      <c r="D86" s="112"/>
      <c r="F86" s="95"/>
      <c r="G86" s="94"/>
      <c r="H86" s="94"/>
      <c r="I86" s="94"/>
      <c r="J86" s="94"/>
      <c r="K86" s="95"/>
      <c r="L86" s="94"/>
      <c r="M86" s="94"/>
      <c r="N86" s="94"/>
      <c r="O86" s="94"/>
      <c r="P86" s="96"/>
      <c r="Q86" s="97"/>
      <c r="R86" s="98"/>
      <c r="S86" s="98"/>
      <c r="T86" s="97"/>
      <c r="U86" s="99"/>
      <c r="V86" s="100"/>
      <c r="W86" s="100"/>
      <c r="X86" s="100"/>
      <c r="Y86" s="100"/>
      <c r="Z86" s="99"/>
      <c r="AA86" s="100"/>
      <c r="AB86" s="100"/>
      <c r="AC86" s="100"/>
      <c r="AD86" s="100"/>
      <c r="AE86" s="99"/>
      <c r="AF86" s="100"/>
      <c r="AG86" s="100"/>
      <c r="AH86" s="100"/>
      <c r="AI86" s="100"/>
    </row>
    <row r="87" spans="1:35">
      <c r="A87" s="5"/>
      <c r="B87" s="92"/>
      <c r="C87" s="93"/>
      <c r="D87" s="112"/>
      <c r="F87" s="95"/>
      <c r="G87" s="94"/>
      <c r="H87" s="94"/>
      <c r="I87" s="94"/>
      <c r="J87" s="94"/>
      <c r="K87" s="95"/>
      <c r="L87" s="94"/>
      <c r="M87" s="94"/>
      <c r="N87" s="94"/>
      <c r="O87" s="94"/>
      <c r="P87" s="96"/>
      <c r="Q87" s="97"/>
      <c r="R87" s="98"/>
      <c r="S87" s="98"/>
      <c r="T87" s="97"/>
      <c r="U87" s="99"/>
      <c r="V87" s="100"/>
      <c r="W87" s="100"/>
      <c r="X87" s="100"/>
      <c r="Y87" s="100"/>
      <c r="Z87" s="99"/>
      <c r="AA87" s="100"/>
      <c r="AB87" s="100"/>
      <c r="AC87" s="100"/>
      <c r="AD87" s="100"/>
      <c r="AE87" s="99"/>
      <c r="AF87" s="100"/>
      <c r="AG87" s="100"/>
      <c r="AH87" s="100"/>
      <c r="AI87" s="100"/>
    </row>
    <row r="88" spans="1:35">
      <c r="A88" s="5"/>
      <c r="B88" s="92"/>
      <c r="C88" s="93"/>
      <c r="D88" s="112"/>
      <c r="F88" s="95"/>
      <c r="G88" s="94"/>
      <c r="H88" s="94"/>
      <c r="I88" s="94"/>
      <c r="J88" s="94"/>
      <c r="K88" s="95"/>
      <c r="L88" s="94"/>
      <c r="M88" s="94"/>
      <c r="N88" s="94"/>
      <c r="O88" s="94"/>
      <c r="P88" s="96"/>
      <c r="Q88" s="97"/>
      <c r="R88" s="98"/>
      <c r="S88" s="98"/>
      <c r="T88" s="97"/>
      <c r="U88" s="99"/>
      <c r="V88" s="100"/>
      <c r="W88" s="100"/>
      <c r="X88" s="100"/>
      <c r="Y88" s="100"/>
      <c r="Z88" s="99"/>
      <c r="AA88" s="100"/>
      <c r="AB88" s="100"/>
      <c r="AC88" s="100"/>
      <c r="AD88" s="100"/>
      <c r="AE88" s="99"/>
      <c r="AF88" s="100"/>
      <c r="AG88" s="100"/>
      <c r="AH88" s="100"/>
      <c r="AI88" s="100"/>
    </row>
    <row r="89" spans="1:35">
      <c r="A89" s="5"/>
      <c r="B89" s="92"/>
      <c r="C89" s="93"/>
      <c r="D89" s="112"/>
      <c r="F89" s="95"/>
      <c r="G89" s="94"/>
      <c r="H89" s="94"/>
      <c r="I89" s="94"/>
      <c r="J89" s="94"/>
      <c r="K89" s="95"/>
      <c r="L89" s="94"/>
      <c r="M89" s="94"/>
      <c r="N89" s="94"/>
      <c r="O89" s="94"/>
      <c r="P89" s="96"/>
      <c r="Q89" s="97"/>
      <c r="R89" s="98"/>
      <c r="S89" s="98"/>
      <c r="T89" s="97"/>
      <c r="U89" s="99"/>
      <c r="V89" s="100"/>
      <c r="W89" s="100"/>
      <c r="X89" s="100"/>
      <c r="Y89" s="100"/>
      <c r="Z89" s="99"/>
      <c r="AA89" s="100"/>
      <c r="AB89" s="100"/>
      <c r="AC89" s="100"/>
      <c r="AD89" s="100"/>
      <c r="AE89" s="99"/>
      <c r="AF89" s="100"/>
      <c r="AG89" s="100"/>
      <c r="AH89" s="100"/>
      <c r="AI89" s="100"/>
    </row>
    <row r="90" spans="1:35">
      <c r="A90" s="5"/>
      <c r="B90" s="92"/>
      <c r="C90" s="93"/>
      <c r="D90" s="112"/>
      <c r="F90" s="95"/>
      <c r="G90" s="94"/>
      <c r="H90" s="94"/>
      <c r="I90" s="94"/>
      <c r="J90" s="94"/>
      <c r="K90" s="95"/>
      <c r="L90" s="94"/>
      <c r="M90" s="94"/>
      <c r="N90" s="94"/>
      <c r="O90" s="94"/>
      <c r="P90" s="96"/>
      <c r="Q90" s="97"/>
      <c r="R90" s="98"/>
      <c r="S90" s="98"/>
      <c r="T90" s="97"/>
      <c r="U90" s="99"/>
      <c r="V90" s="100"/>
      <c r="W90" s="100"/>
      <c r="X90" s="100"/>
      <c r="Y90" s="100"/>
      <c r="Z90" s="99"/>
      <c r="AA90" s="100"/>
      <c r="AB90" s="100"/>
      <c r="AC90" s="100"/>
      <c r="AD90" s="100"/>
      <c r="AE90" s="99"/>
      <c r="AF90" s="100"/>
      <c r="AG90" s="100"/>
      <c r="AH90" s="100"/>
      <c r="AI90" s="100"/>
    </row>
    <row r="91" spans="1:35">
      <c r="A91" s="5"/>
      <c r="B91" s="92"/>
      <c r="C91" s="93"/>
      <c r="D91" s="112"/>
      <c r="F91" s="95"/>
      <c r="G91" s="94"/>
      <c r="H91" s="94"/>
      <c r="I91" s="94"/>
      <c r="J91" s="94"/>
      <c r="K91" s="95"/>
      <c r="L91" s="94"/>
      <c r="M91" s="94"/>
      <c r="N91" s="94"/>
      <c r="O91" s="94"/>
      <c r="P91" s="96"/>
      <c r="Q91" s="97"/>
      <c r="R91" s="98"/>
      <c r="S91" s="98"/>
      <c r="T91" s="97"/>
      <c r="U91" s="99"/>
      <c r="V91" s="100"/>
      <c r="W91" s="100"/>
      <c r="X91" s="100"/>
      <c r="Y91" s="100"/>
      <c r="Z91" s="99"/>
      <c r="AA91" s="100"/>
      <c r="AB91" s="100"/>
      <c r="AC91" s="100"/>
      <c r="AD91" s="100"/>
      <c r="AE91" s="99"/>
      <c r="AF91" s="100"/>
      <c r="AG91" s="100"/>
      <c r="AH91" s="100"/>
      <c r="AI91" s="100"/>
    </row>
    <row r="92" spans="1:35">
      <c r="A92" s="5"/>
      <c r="B92" s="92"/>
      <c r="C92" s="93"/>
      <c r="D92" s="112"/>
      <c r="F92" s="95"/>
      <c r="G92" s="94"/>
      <c r="H92" s="94"/>
      <c r="I92" s="94"/>
      <c r="J92" s="94"/>
      <c r="K92" s="95"/>
      <c r="L92" s="94"/>
      <c r="M92" s="94"/>
      <c r="N92" s="94"/>
      <c r="O92" s="94"/>
      <c r="P92" s="96"/>
      <c r="Q92" s="97"/>
      <c r="R92" s="98"/>
      <c r="S92" s="98"/>
      <c r="T92" s="97"/>
      <c r="U92" s="99"/>
      <c r="V92" s="100"/>
      <c r="W92" s="100"/>
      <c r="X92" s="100"/>
      <c r="Y92" s="100"/>
      <c r="Z92" s="99"/>
      <c r="AA92" s="100"/>
      <c r="AB92" s="100"/>
      <c r="AC92" s="100"/>
      <c r="AD92" s="100"/>
      <c r="AE92" s="99"/>
      <c r="AF92" s="100"/>
      <c r="AG92" s="100"/>
      <c r="AH92" s="100"/>
      <c r="AI92" s="100"/>
    </row>
    <row r="93" spans="1:35">
      <c r="A93" s="5"/>
      <c r="B93" s="92"/>
      <c r="C93" s="93"/>
      <c r="D93" s="112"/>
      <c r="F93" s="95"/>
      <c r="G93" s="94"/>
      <c r="H93" s="94"/>
      <c r="I93" s="94"/>
      <c r="J93" s="94"/>
      <c r="K93" s="95"/>
      <c r="L93" s="94"/>
      <c r="M93" s="94"/>
      <c r="N93" s="94"/>
      <c r="O93" s="94"/>
      <c r="P93" s="96"/>
      <c r="Q93" s="97"/>
      <c r="R93" s="98"/>
      <c r="S93" s="98"/>
      <c r="T93" s="97"/>
      <c r="U93" s="99"/>
      <c r="V93" s="100"/>
      <c r="W93" s="100"/>
      <c r="X93" s="100"/>
      <c r="Y93" s="100"/>
      <c r="Z93" s="99"/>
      <c r="AA93" s="100"/>
      <c r="AB93" s="100"/>
      <c r="AC93" s="100"/>
      <c r="AD93" s="100"/>
      <c r="AE93" s="99"/>
      <c r="AF93" s="100"/>
      <c r="AG93" s="100"/>
      <c r="AH93" s="100"/>
      <c r="AI93" s="100"/>
    </row>
    <row r="94" spans="1:35">
      <c r="A94" s="5"/>
      <c r="B94" s="92"/>
      <c r="C94" s="93"/>
      <c r="D94" s="112"/>
      <c r="F94" s="95"/>
      <c r="G94" s="94"/>
      <c r="H94" s="94"/>
      <c r="I94" s="94"/>
      <c r="J94" s="94"/>
      <c r="K94" s="95"/>
      <c r="L94" s="94"/>
      <c r="M94" s="94"/>
      <c r="N94" s="94"/>
      <c r="O94" s="94"/>
      <c r="P94" s="96"/>
      <c r="Q94" s="97"/>
      <c r="R94" s="98"/>
      <c r="S94" s="98"/>
      <c r="T94" s="97"/>
      <c r="U94" s="99"/>
      <c r="V94" s="100"/>
      <c r="W94" s="100"/>
      <c r="X94" s="100"/>
      <c r="Y94" s="100"/>
      <c r="Z94" s="99"/>
      <c r="AA94" s="100"/>
      <c r="AB94" s="100"/>
      <c r="AC94" s="100"/>
      <c r="AD94" s="100"/>
      <c r="AE94" s="99"/>
      <c r="AF94" s="100"/>
      <c r="AG94" s="100"/>
      <c r="AH94" s="100"/>
      <c r="AI94" s="100"/>
    </row>
    <row r="95" spans="1:35">
      <c r="A95" s="5"/>
      <c r="B95" s="92"/>
      <c r="C95" s="93"/>
      <c r="D95" s="112"/>
      <c r="F95" s="95"/>
      <c r="G95" s="94"/>
      <c r="H95" s="94"/>
      <c r="I95" s="94"/>
      <c r="J95" s="94"/>
      <c r="K95" s="95"/>
      <c r="L95" s="94"/>
      <c r="M95" s="94"/>
      <c r="N95" s="94"/>
      <c r="O95" s="94"/>
      <c r="P95" s="96"/>
      <c r="Q95" s="97"/>
      <c r="R95" s="98"/>
      <c r="S95" s="98"/>
      <c r="T95" s="97"/>
      <c r="U95" s="99"/>
      <c r="V95" s="100"/>
      <c r="W95" s="100"/>
      <c r="X95" s="100"/>
      <c r="Y95" s="100"/>
      <c r="Z95" s="99"/>
      <c r="AA95" s="100"/>
      <c r="AB95" s="100"/>
      <c r="AC95" s="100"/>
      <c r="AD95" s="100"/>
      <c r="AE95" s="99"/>
      <c r="AF95" s="100"/>
      <c r="AG95" s="100"/>
      <c r="AH95" s="100"/>
      <c r="AI95" s="100"/>
    </row>
    <row r="96" spans="1:35">
      <c r="A96" s="5"/>
      <c r="B96" s="92"/>
      <c r="C96" s="93"/>
      <c r="D96" s="112"/>
      <c r="F96" s="95"/>
      <c r="G96" s="94"/>
      <c r="H96" s="94"/>
      <c r="I96" s="94"/>
      <c r="J96" s="94"/>
      <c r="K96" s="95"/>
      <c r="L96" s="94"/>
      <c r="M96" s="94"/>
      <c r="N96" s="94"/>
      <c r="O96" s="94"/>
      <c r="P96" s="96"/>
      <c r="Q96" s="97"/>
      <c r="R96" s="98"/>
      <c r="S96" s="98"/>
      <c r="T96" s="97"/>
      <c r="U96" s="99"/>
      <c r="V96" s="100"/>
      <c r="W96" s="100"/>
      <c r="X96" s="100"/>
      <c r="Y96" s="100"/>
      <c r="Z96" s="99"/>
      <c r="AA96" s="100"/>
      <c r="AB96" s="100"/>
      <c r="AC96" s="100"/>
      <c r="AD96" s="100"/>
      <c r="AE96" s="99"/>
      <c r="AF96" s="100"/>
      <c r="AG96" s="100"/>
      <c r="AH96" s="100"/>
      <c r="AI96" s="100"/>
    </row>
    <row r="97" spans="1:35">
      <c r="A97" s="5"/>
      <c r="B97" s="92"/>
      <c r="C97" s="93"/>
      <c r="D97" s="112"/>
      <c r="F97" s="95"/>
      <c r="G97" s="94"/>
      <c r="H97" s="94"/>
      <c r="I97" s="94"/>
      <c r="J97" s="94"/>
      <c r="K97" s="95"/>
      <c r="L97" s="94"/>
      <c r="M97" s="94"/>
      <c r="N97" s="94"/>
      <c r="O97" s="94"/>
      <c r="P97" s="96"/>
      <c r="Q97" s="97"/>
      <c r="R97" s="98"/>
      <c r="S97" s="98"/>
      <c r="T97" s="97"/>
      <c r="U97" s="99"/>
      <c r="V97" s="100"/>
      <c r="W97" s="100"/>
      <c r="X97" s="100"/>
      <c r="Y97" s="100"/>
      <c r="Z97" s="99"/>
      <c r="AA97" s="100"/>
      <c r="AB97" s="100"/>
      <c r="AC97" s="100"/>
      <c r="AD97" s="100"/>
      <c r="AE97" s="99"/>
      <c r="AF97" s="100"/>
      <c r="AG97" s="100"/>
      <c r="AH97" s="100"/>
      <c r="AI97" s="100"/>
    </row>
    <row r="98" spans="1:35">
      <c r="A98" s="5"/>
      <c r="B98" s="92"/>
      <c r="C98" s="93"/>
      <c r="D98" s="112"/>
      <c r="F98" s="95"/>
      <c r="G98" s="94"/>
      <c r="H98" s="94"/>
      <c r="I98" s="94"/>
      <c r="J98" s="94"/>
      <c r="K98" s="95"/>
      <c r="L98" s="94"/>
      <c r="M98" s="94"/>
      <c r="N98" s="94"/>
      <c r="O98" s="94"/>
      <c r="P98" s="96"/>
      <c r="Q98" s="97"/>
      <c r="R98" s="98"/>
      <c r="S98" s="98"/>
      <c r="T98" s="97"/>
      <c r="U98" s="99"/>
      <c r="V98" s="100"/>
      <c r="W98" s="100"/>
      <c r="X98" s="100"/>
      <c r="Y98" s="100"/>
      <c r="Z98" s="99"/>
      <c r="AA98" s="100"/>
      <c r="AB98" s="100"/>
      <c r="AC98" s="100"/>
      <c r="AD98" s="100"/>
      <c r="AE98" s="99"/>
      <c r="AF98" s="100"/>
      <c r="AG98" s="100"/>
      <c r="AH98" s="100"/>
      <c r="AI98" s="100"/>
    </row>
    <row r="99" spans="1:35">
      <c r="A99" s="5"/>
      <c r="B99" s="92"/>
      <c r="C99" s="93"/>
      <c r="D99" s="112"/>
      <c r="F99" s="95"/>
      <c r="G99" s="94"/>
      <c r="H99" s="94"/>
      <c r="I99" s="94"/>
      <c r="J99" s="94"/>
      <c r="K99" s="95"/>
      <c r="L99" s="94"/>
      <c r="M99" s="94"/>
      <c r="N99" s="94"/>
      <c r="O99" s="94"/>
      <c r="P99" s="96"/>
      <c r="Q99" s="97"/>
      <c r="R99" s="98"/>
      <c r="S99" s="98"/>
      <c r="T99" s="97"/>
      <c r="U99" s="99"/>
      <c r="V99" s="100"/>
      <c r="W99" s="100"/>
      <c r="X99" s="100"/>
      <c r="Y99" s="100"/>
      <c r="Z99" s="99"/>
      <c r="AA99" s="100"/>
      <c r="AB99" s="100"/>
      <c r="AC99" s="100"/>
      <c r="AD99" s="100"/>
      <c r="AE99" s="99"/>
      <c r="AF99" s="100"/>
      <c r="AG99" s="100"/>
      <c r="AH99" s="100"/>
      <c r="AI99" s="100"/>
    </row>
    <row r="100" spans="1:35">
      <c r="A100" s="5"/>
      <c r="B100" s="92"/>
      <c r="C100" s="93"/>
      <c r="D100" s="112"/>
      <c r="F100" s="95"/>
      <c r="G100" s="94"/>
      <c r="H100" s="94"/>
      <c r="I100" s="94"/>
      <c r="J100" s="94"/>
      <c r="K100" s="95"/>
      <c r="L100" s="94"/>
      <c r="M100" s="94"/>
      <c r="N100" s="94"/>
      <c r="O100" s="94"/>
      <c r="P100" s="96"/>
      <c r="Q100" s="97"/>
      <c r="R100" s="98"/>
      <c r="S100" s="98"/>
      <c r="T100" s="97"/>
      <c r="U100" s="99"/>
      <c r="V100" s="100"/>
      <c r="W100" s="100"/>
      <c r="X100" s="100"/>
      <c r="Y100" s="100"/>
      <c r="Z100" s="99"/>
      <c r="AA100" s="100"/>
      <c r="AB100" s="100"/>
      <c r="AC100" s="100"/>
      <c r="AD100" s="100"/>
      <c r="AE100" s="99"/>
      <c r="AF100" s="100"/>
      <c r="AG100" s="100"/>
      <c r="AH100" s="100"/>
      <c r="AI100" s="100"/>
    </row>
    <row r="101" spans="1:35">
      <c r="A101" s="5"/>
      <c r="B101" s="92"/>
      <c r="C101" s="93"/>
      <c r="D101" s="112"/>
      <c r="F101" s="95"/>
      <c r="G101" s="94"/>
      <c r="H101" s="94"/>
      <c r="I101" s="94"/>
      <c r="J101" s="94"/>
      <c r="K101" s="95"/>
      <c r="L101" s="94"/>
      <c r="M101" s="94"/>
      <c r="N101" s="94"/>
      <c r="O101" s="94"/>
      <c r="P101" s="96"/>
      <c r="Q101" s="97"/>
      <c r="R101" s="98"/>
      <c r="S101" s="98"/>
      <c r="T101" s="97"/>
      <c r="U101" s="99"/>
      <c r="V101" s="100"/>
      <c r="W101" s="100"/>
      <c r="X101" s="100"/>
      <c r="Y101" s="100"/>
      <c r="Z101" s="99"/>
      <c r="AA101" s="100"/>
      <c r="AB101" s="100"/>
      <c r="AC101" s="100"/>
      <c r="AD101" s="100"/>
      <c r="AE101" s="99"/>
      <c r="AF101" s="100"/>
      <c r="AG101" s="100"/>
      <c r="AH101" s="100"/>
      <c r="AI101" s="100"/>
    </row>
    <row r="102" spans="1:35">
      <c r="A102" s="5"/>
      <c r="B102" s="92"/>
      <c r="C102" s="93"/>
      <c r="D102" s="112"/>
      <c r="F102" s="95"/>
      <c r="G102" s="94"/>
      <c r="H102" s="94"/>
      <c r="I102" s="94"/>
      <c r="J102" s="94"/>
      <c r="K102" s="95"/>
      <c r="L102" s="94"/>
      <c r="M102" s="94"/>
      <c r="N102" s="94"/>
      <c r="O102" s="94"/>
      <c r="P102" s="96"/>
      <c r="Q102" s="97"/>
      <c r="R102" s="98"/>
      <c r="S102" s="98"/>
      <c r="T102" s="97"/>
      <c r="U102" s="99"/>
      <c r="V102" s="100"/>
      <c r="W102" s="100"/>
      <c r="X102" s="100"/>
      <c r="Y102" s="100"/>
      <c r="Z102" s="99"/>
      <c r="AA102" s="100"/>
      <c r="AB102" s="100"/>
      <c r="AC102" s="100"/>
      <c r="AD102" s="100"/>
      <c r="AE102" s="99"/>
      <c r="AF102" s="100"/>
      <c r="AG102" s="100"/>
      <c r="AH102" s="100"/>
      <c r="AI102" s="100"/>
    </row>
    <row r="103" spans="1:35">
      <c r="A103" s="5"/>
      <c r="B103" s="92"/>
      <c r="C103" s="93"/>
      <c r="D103" s="112"/>
      <c r="F103" s="95"/>
      <c r="G103" s="94"/>
      <c r="H103" s="94"/>
      <c r="I103" s="94"/>
      <c r="J103" s="94"/>
      <c r="K103" s="95"/>
      <c r="L103" s="94"/>
      <c r="M103" s="94"/>
      <c r="N103" s="94"/>
      <c r="O103" s="94"/>
      <c r="P103" s="96"/>
      <c r="Q103" s="97"/>
      <c r="R103" s="98"/>
      <c r="S103" s="98"/>
      <c r="T103" s="97"/>
      <c r="U103" s="99"/>
      <c r="V103" s="100"/>
      <c r="W103" s="100"/>
      <c r="X103" s="100"/>
      <c r="Y103" s="100"/>
      <c r="Z103" s="99"/>
      <c r="AA103" s="100"/>
      <c r="AB103" s="100"/>
      <c r="AC103" s="100"/>
      <c r="AD103" s="100"/>
      <c r="AE103" s="99"/>
      <c r="AF103" s="100"/>
      <c r="AG103" s="100"/>
      <c r="AH103" s="100"/>
      <c r="AI103" s="100"/>
    </row>
    <row r="104" spans="1:35">
      <c r="A104" s="5"/>
      <c r="B104" s="92"/>
      <c r="C104" s="93"/>
      <c r="D104" s="112"/>
      <c r="F104" s="95"/>
      <c r="G104" s="94"/>
      <c r="H104" s="94"/>
      <c r="I104" s="94"/>
      <c r="J104" s="94"/>
      <c r="K104" s="95"/>
      <c r="L104" s="94"/>
      <c r="M104" s="94"/>
      <c r="N104" s="94"/>
      <c r="O104" s="94"/>
      <c r="P104" s="96"/>
      <c r="Q104" s="97"/>
      <c r="R104" s="98"/>
      <c r="S104" s="98"/>
      <c r="T104" s="97"/>
      <c r="U104" s="99"/>
      <c r="V104" s="100"/>
      <c r="W104" s="100"/>
      <c r="X104" s="100"/>
      <c r="Y104" s="100"/>
      <c r="Z104" s="99"/>
      <c r="AA104" s="100"/>
      <c r="AB104" s="100"/>
      <c r="AC104" s="100"/>
      <c r="AD104" s="100"/>
      <c r="AE104" s="99"/>
      <c r="AF104" s="100"/>
      <c r="AG104" s="100"/>
      <c r="AH104" s="100"/>
      <c r="AI104" s="100"/>
    </row>
    <row r="105" spans="1:35">
      <c r="A105" s="5"/>
      <c r="B105" s="92"/>
      <c r="C105" s="93"/>
      <c r="D105" s="112"/>
      <c r="F105" s="95"/>
      <c r="G105" s="94"/>
      <c r="H105" s="94"/>
      <c r="I105" s="94"/>
      <c r="J105" s="94"/>
      <c r="K105" s="95"/>
      <c r="L105" s="94"/>
      <c r="M105" s="94"/>
      <c r="N105" s="94"/>
      <c r="O105" s="94"/>
      <c r="P105" s="96"/>
      <c r="Q105" s="97"/>
      <c r="R105" s="98"/>
      <c r="S105" s="98"/>
      <c r="T105" s="97"/>
      <c r="U105" s="99"/>
      <c r="V105" s="100"/>
      <c r="W105" s="100"/>
      <c r="X105" s="100"/>
      <c r="Y105" s="100"/>
      <c r="Z105" s="99"/>
      <c r="AA105" s="100"/>
      <c r="AB105" s="100"/>
      <c r="AC105" s="100"/>
      <c r="AD105" s="100"/>
      <c r="AE105" s="99"/>
      <c r="AF105" s="100"/>
      <c r="AG105" s="100"/>
      <c r="AH105" s="100"/>
      <c r="AI105" s="100"/>
    </row>
    <row r="106" spans="1:35">
      <c r="A106" s="5"/>
      <c r="B106" s="92"/>
      <c r="C106" s="93"/>
      <c r="D106" s="112"/>
      <c r="F106" s="95"/>
      <c r="G106" s="94"/>
      <c r="H106" s="94"/>
      <c r="I106" s="94"/>
      <c r="J106" s="94"/>
      <c r="K106" s="95"/>
      <c r="L106" s="94"/>
      <c r="M106" s="94"/>
      <c r="N106" s="94"/>
      <c r="O106" s="94"/>
      <c r="P106" s="96"/>
      <c r="Q106" s="97"/>
      <c r="R106" s="98"/>
      <c r="S106" s="98"/>
      <c r="T106" s="97"/>
      <c r="U106" s="99"/>
      <c r="V106" s="100"/>
      <c r="W106" s="100"/>
      <c r="X106" s="100"/>
      <c r="Y106" s="100"/>
      <c r="Z106" s="99"/>
      <c r="AA106" s="100"/>
      <c r="AB106" s="100"/>
      <c r="AC106" s="100"/>
      <c r="AD106" s="100"/>
      <c r="AE106" s="99"/>
      <c r="AF106" s="100"/>
      <c r="AG106" s="100"/>
      <c r="AH106" s="100"/>
      <c r="AI106" s="100"/>
    </row>
    <row r="107" spans="1:35">
      <c r="A107" s="5"/>
      <c r="B107" s="92"/>
      <c r="C107" s="93"/>
      <c r="D107" s="112"/>
      <c r="F107" s="95"/>
      <c r="G107" s="94"/>
      <c r="H107" s="94"/>
      <c r="I107" s="94"/>
      <c r="J107" s="94"/>
      <c r="K107" s="95"/>
      <c r="L107" s="94"/>
      <c r="M107" s="94"/>
      <c r="N107" s="94"/>
      <c r="O107" s="94"/>
      <c r="P107" s="96"/>
      <c r="Q107" s="97"/>
      <c r="R107" s="98"/>
      <c r="S107" s="98"/>
      <c r="T107" s="97"/>
      <c r="U107" s="99"/>
      <c r="V107" s="100"/>
      <c r="W107" s="100"/>
      <c r="X107" s="100"/>
      <c r="Y107" s="100"/>
      <c r="Z107" s="99"/>
      <c r="AA107" s="100"/>
      <c r="AB107" s="100"/>
      <c r="AC107" s="100"/>
      <c r="AD107" s="100"/>
      <c r="AE107" s="99"/>
      <c r="AF107" s="100"/>
      <c r="AG107" s="100"/>
      <c r="AH107" s="100"/>
      <c r="AI107" s="100"/>
    </row>
    <row r="108" spans="1:35">
      <c r="A108" s="5"/>
      <c r="B108" s="92"/>
      <c r="C108" s="93"/>
      <c r="D108" s="112"/>
      <c r="F108" s="95"/>
      <c r="G108" s="94"/>
      <c r="H108" s="94"/>
      <c r="I108" s="94"/>
      <c r="J108" s="94"/>
      <c r="K108" s="95"/>
      <c r="L108" s="94"/>
      <c r="M108" s="94"/>
      <c r="N108" s="94"/>
      <c r="O108" s="94"/>
      <c r="P108" s="96"/>
      <c r="Q108" s="97"/>
      <c r="R108" s="98"/>
      <c r="S108" s="98"/>
      <c r="T108" s="97"/>
      <c r="U108" s="99"/>
      <c r="V108" s="100"/>
      <c r="W108" s="100"/>
      <c r="X108" s="100"/>
      <c r="Y108" s="100"/>
      <c r="Z108" s="99"/>
      <c r="AA108" s="100"/>
      <c r="AB108" s="100"/>
      <c r="AC108" s="100"/>
      <c r="AD108" s="100"/>
      <c r="AE108" s="99"/>
      <c r="AF108" s="100"/>
      <c r="AG108" s="100"/>
      <c r="AH108" s="100"/>
      <c r="AI108" s="100"/>
    </row>
    <row r="109" spans="1:35">
      <c r="A109" s="5"/>
      <c r="B109" s="92"/>
      <c r="C109" s="93"/>
      <c r="D109" s="112"/>
      <c r="F109" s="95"/>
      <c r="G109" s="94"/>
      <c r="H109" s="94"/>
      <c r="I109" s="94"/>
      <c r="J109" s="94"/>
      <c r="K109" s="95"/>
      <c r="L109" s="94"/>
      <c r="M109" s="94"/>
      <c r="N109" s="94"/>
      <c r="O109" s="94"/>
      <c r="P109" s="96"/>
      <c r="Q109" s="97"/>
      <c r="R109" s="98"/>
      <c r="S109" s="98"/>
      <c r="T109" s="97"/>
      <c r="U109" s="99"/>
      <c r="V109" s="100"/>
      <c r="W109" s="100"/>
      <c r="X109" s="100"/>
      <c r="Y109" s="100"/>
      <c r="Z109" s="99"/>
      <c r="AA109" s="100"/>
      <c r="AB109" s="100"/>
      <c r="AC109" s="100"/>
      <c r="AD109" s="100"/>
      <c r="AE109" s="99"/>
      <c r="AF109" s="100"/>
      <c r="AG109" s="100"/>
      <c r="AH109" s="100"/>
      <c r="AI109" s="100"/>
    </row>
    <row r="110" spans="1:35">
      <c r="A110" s="5"/>
      <c r="B110" s="92"/>
      <c r="C110" s="93"/>
      <c r="D110" s="112"/>
      <c r="F110" s="95"/>
      <c r="G110" s="94"/>
      <c r="H110" s="94"/>
      <c r="I110" s="94"/>
      <c r="J110" s="94"/>
      <c r="K110" s="95"/>
      <c r="L110" s="94"/>
      <c r="M110" s="94"/>
      <c r="N110" s="94"/>
      <c r="O110" s="94"/>
      <c r="P110" s="96"/>
      <c r="Q110" s="97"/>
      <c r="R110" s="98"/>
      <c r="S110" s="98"/>
      <c r="T110" s="97"/>
      <c r="U110" s="99"/>
      <c r="V110" s="100"/>
      <c r="W110" s="100"/>
      <c r="X110" s="100"/>
      <c r="Y110" s="100"/>
      <c r="Z110" s="99"/>
      <c r="AA110" s="100"/>
      <c r="AB110" s="100"/>
      <c r="AC110" s="100"/>
      <c r="AD110" s="100"/>
      <c r="AE110" s="99"/>
      <c r="AF110" s="100"/>
      <c r="AG110" s="100"/>
      <c r="AH110" s="100"/>
      <c r="AI110" s="100"/>
    </row>
    <row r="111" spans="1:35">
      <c r="A111" s="5"/>
      <c r="B111" s="92"/>
      <c r="C111" s="93"/>
      <c r="D111" s="112"/>
      <c r="F111" s="95"/>
      <c r="G111" s="94"/>
      <c r="H111" s="94"/>
      <c r="I111" s="94"/>
      <c r="J111" s="94"/>
      <c r="K111" s="95"/>
      <c r="L111" s="94"/>
      <c r="M111" s="94"/>
      <c r="N111" s="94"/>
      <c r="O111" s="94"/>
      <c r="P111" s="96"/>
      <c r="Q111" s="97"/>
      <c r="R111" s="98"/>
      <c r="S111" s="98"/>
      <c r="T111" s="97"/>
      <c r="U111" s="99"/>
      <c r="V111" s="100"/>
      <c r="W111" s="100"/>
      <c r="X111" s="100"/>
      <c r="Y111" s="100"/>
      <c r="Z111" s="99"/>
      <c r="AA111" s="100"/>
      <c r="AB111" s="100"/>
      <c r="AC111" s="100"/>
      <c r="AD111" s="100"/>
      <c r="AE111" s="99"/>
      <c r="AF111" s="100"/>
      <c r="AG111" s="100"/>
      <c r="AH111" s="100"/>
      <c r="AI111" s="100"/>
    </row>
    <row r="112" spans="1:35">
      <c r="A112" s="5"/>
      <c r="B112" s="92"/>
      <c r="C112" s="93"/>
      <c r="D112" s="112"/>
      <c r="F112" s="95"/>
      <c r="G112" s="94"/>
      <c r="H112" s="94"/>
      <c r="I112" s="94"/>
      <c r="J112" s="94"/>
      <c r="K112" s="95"/>
      <c r="L112" s="94"/>
      <c r="M112" s="94"/>
      <c r="N112" s="94"/>
      <c r="O112" s="94"/>
      <c r="P112" s="96"/>
      <c r="Q112" s="97"/>
      <c r="R112" s="98"/>
      <c r="S112" s="98"/>
      <c r="T112" s="97"/>
      <c r="U112" s="99"/>
      <c r="V112" s="100"/>
      <c r="W112" s="100"/>
      <c r="X112" s="100"/>
      <c r="Y112" s="100"/>
      <c r="Z112" s="99"/>
      <c r="AA112" s="100"/>
      <c r="AB112" s="100"/>
      <c r="AC112" s="100"/>
      <c r="AD112" s="100"/>
      <c r="AE112" s="99"/>
      <c r="AF112" s="100"/>
      <c r="AG112" s="100"/>
      <c r="AH112" s="100"/>
      <c r="AI112" s="100"/>
    </row>
    <row r="113" spans="1:35">
      <c r="A113" s="5"/>
      <c r="B113" s="92"/>
      <c r="C113" s="93"/>
      <c r="D113" s="112"/>
      <c r="F113" s="95"/>
      <c r="G113" s="94"/>
      <c r="H113" s="94"/>
      <c r="I113" s="94"/>
      <c r="J113" s="94"/>
      <c r="K113" s="95"/>
      <c r="L113" s="94"/>
      <c r="M113" s="94"/>
      <c r="N113" s="94"/>
      <c r="O113" s="94"/>
      <c r="P113" s="96"/>
      <c r="Q113" s="97"/>
      <c r="R113" s="98"/>
      <c r="S113" s="98"/>
      <c r="T113" s="97"/>
      <c r="U113" s="99"/>
      <c r="V113" s="100"/>
      <c r="W113" s="100"/>
      <c r="X113" s="100"/>
      <c r="Y113" s="100"/>
      <c r="Z113" s="99"/>
      <c r="AA113" s="100"/>
      <c r="AB113" s="100"/>
      <c r="AC113" s="100"/>
      <c r="AD113" s="100"/>
      <c r="AE113" s="99"/>
      <c r="AF113" s="100"/>
      <c r="AG113" s="100"/>
      <c r="AH113" s="100"/>
      <c r="AI113" s="100"/>
    </row>
    <row r="114" spans="1:35">
      <c r="A114" s="5"/>
      <c r="B114" s="92"/>
      <c r="C114" s="93"/>
      <c r="D114" s="112"/>
      <c r="F114" s="95"/>
      <c r="G114" s="94"/>
      <c r="H114" s="94"/>
      <c r="I114" s="94"/>
      <c r="J114" s="94"/>
      <c r="K114" s="95"/>
      <c r="L114" s="94"/>
      <c r="M114" s="94"/>
      <c r="N114" s="94"/>
      <c r="O114" s="94"/>
      <c r="P114" s="96"/>
      <c r="Q114" s="97"/>
      <c r="R114" s="98"/>
      <c r="S114" s="98"/>
      <c r="T114" s="97"/>
      <c r="U114" s="99"/>
      <c r="V114" s="100"/>
      <c r="W114" s="100"/>
      <c r="X114" s="100"/>
      <c r="Y114" s="100"/>
      <c r="Z114" s="99"/>
      <c r="AA114" s="100"/>
      <c r="AB114" s="100"/>
      <c r="AC114" s="100"/>
      <c r="AD114" s="100"/>
      <c r="AE114" s="99"/>
      <c r="AF114" s="100"/>
      <c r="AG114" s="100"/>
      <c r="AH114" s="100"/>
      <c r="AI114" s="100"/>
    </row>
    <row r="115" spans="1:35">
      <c r="A115" s="5"/>
      <c r="B115" s="92"/>
      <c r="C115" s="93"/>
      <c r="D115" s="112"/>
      <c r="F115" s="95"/>
      <c r="G115" s="94"/>
      <c r="H115" s="94"/>
      <c r="I115" s="94"/>
      <c r="J115" s="94"/>
      <c r="K115" s="95"/>
      <c r="L115" s="94"/>
      <c r="M115" s="94"/>
      <c r="N115" s="94"/>
      <c r="O115" s="94"/>
      <c r="P115" s="96"/>
      <c r="Q115" s="97"/>
      <c r="R115" s="98"/>
      <c r="S115" s="98"/>
      <c r="T115" s="97"/>
      <c r="U115" s="99"/>
      <c r="V115" s="100"/>
      <c r="W115" s="100"/>
      <c r="X115" s="100"/>
      <c r="Y115" s="100"/>
      <c r="Z115" s="99"/>
      <c r="AA115" s="100"/>
      <c r="AB115" s="100"/>
      <c r="AC115" s="100"/>
      <c r="AD115" s="100"/>
      <c r="AE115" s="99"/>
      <c r="AF115" s="100"/>
      <c r="AG115" s="100"/>
      <c r="AH115" s="100"/>
      <c r="AI115" s="100"/>
    </row>
    <row r="116" spans="1:35">
      <c r="A116" s="5"/>
      <c r="B116" s="92"/>
      <c r="C116" s="93"/>
      <c r="D116" s="112"/>
      <c r="F116" s="95"/>
      <c r="G116" s="94"/>
      <c r="H116" s="94"/>
      <c r="I116" s="94"/>
      <c r="J116" s="94"/>
      <c r="K116" s="95"/>
      <c r="L116" s="94"/>
      <c r="M116" s="94"/>
      <c r="N116" s="94"/>
      <c r="O116" s="94"/>
      <c r="P116" s="96"/>
      <c r="Q116" s="97"/>
      <c r="R116" s="98"/>
      <c r="S116" s="98"/>
      <c r="T116" s="97"/>
      <c r="U116" s="99"/>
      <c r="V116" s="100"/>
      <c r="W116" s="100"/>
      <c r="X116" s="100"/>
      <c r="Y116" s="100"/>
      <c r="Z116" s="99"/>
      <c r="AA116" s="100"/>
      <c r="AB116" s="100"/>
      <c r="AC116" s="100"/>
      <c r="AD116" s="100"/>
      <c r="AE116" s="99"/>
      <c r="AF116" s="100"/>
      <c r="AG116" s="100"/>
      <c r="AH116" s="100"/>
      <c r="AI116" s="100"/>
    </row>
    <row r="117" spans="1:35">
      <c r="A117" s="5"/>
      <c r="B117" s="92"/>
      <c r="C117" s="93"/>
      <c r="D117" s="112"/>
      <c r="F117" s="95"/>
      <c r="G117" s="94"/>
      <c r="H117" s="94"/>
      <c r="I117" s="94"/>
      <c r="J117" s="94"/>
      <c r="K117" s="95"/>
      <c r="L117" s="94"/>
      <c r="M117" s="94"/>
      <c r="N117" s="94"/>
      <c r="O117" s="94"/>
      <c r="P117" s="96"/>
      <c r="Q117" s="97"/>
      <c r="R117" s="98"/>
      <c r="S117" s="98"/>
      <c r="T117" s="97"/>
      <c r="U117" s="99"/>
      <c r="V117" s="100"/>
      <c r="W117" s="100"/>
      <c r="X117" s="100"/>
      <c r="Y117" s="100"/>
      <c r="Z117" s="99"/>
      <c r="AA117" s="100"/>
      <c r="AB117" s="100"/>
      <c r="AC117" s="100"/>
      <c r="AD117" s="100"/>
      <c r="AE117" s="99"/>
      <c r="AF117" s="100"/>
      <c r="AG117" s="100"/>
      <c r="AH117" s="100"/>
      <c r="AI117" s="100"/>
    </row>
    <row r="118" spans="1:35">
      <c r="A118" s="5"/>
      <c r="B118" s="92"/>
      <c r="C118" s="93"/>
      <c r="D118" s="112"/>
      <c r="F118" s="95"/>
      <c r="G118" s="94"/>
      <c r="H118" s="94"/>
      <c r="I118" s="94"/>
      <c r="J118" s="94"/>
      <c r="K118" s="95"/>
      <c r="L118" s="94"/>
      <c r="M118" s="94"/>
      <c r="N118" s="94"/>
      <c r="O118" s="94"/>
      <c r="P118" s="96"/>
      <c r="Q118" s="97"/>
      <c r="R118" s="98"/>
      <c r="S118" s="98"/>
      <c r="T118" s="97"/>
      <c r="U118" s="99"/>
      <c r="V118" s="100"/>
      <c r="W118" s="100"/>
      <c r="X118" s="100"/>
      <c r="Y118" s="100"/>
      <c r="Z118" s="99"/>
      <c r="AA118" s="100"/>
      <c r="AB118" s="100"/>
      <c r="AC118" s="100"/>
      <c r="AD118" s="100"/>
      <c r="AE118" s="99"/>
      <c r="AF118" s="100"/>
      <c r="AG118" s="100"/>
      <c r="AH118" s="100"/>
      <c r="AI118" s="100"/>
    </row>
    <row r="119" spans="1:35">
      <c r="A119" s="5"/>
      <c r="B119" s="92"/>
      <c r="C119" s="93"/>
      <c r="D119" s="112"/>
      <c r="F119" s="95"/>
      <c r="G119" s="94"/>
      <c r="H119" s="94"/>
      <c r="I119" s="94"/>
      <c r="J119" s="94"/>
      <c r="K119" s="95"/>
      <c r="L119" s="94"/>
      <c r="M119" s="94"/>
      <c r="N119" s="94"/>
      <c r="O119" s="94"/>
      <c r="P119" s="96"/>
      <c r="Q119" s="97"/>
      <c r="R119" s="98"/>
      <c r="S119" s="98"/>
      <c r="T119" s="97"/>
      <c r="U119" s="99"/>
      <c r="V119" s="100"/>
      <c r="W119" s="100"/>
      <c r="X119" s="100"/>
      <c r="Y119" s="100"/>
      <c r="Z119" s="99"/>
      <c r="AA119" s="100"/>
      <c r="AB119" s="100"/>
      <c r="AC119" s="100"/>
      <c r="AD119" s="100"/>
      <c r="AE119" s="99"/>
      <c r="AF119" s="100"/>
      <c r="AG119" s="100"/>
      <c r="AH119" s="100"/>
      <c r="AI119" s="100"/>
    </row>
    <row r="120" spans="1:35">
      <c r="A120" s="5"/>
      <c r="B120" s="92"/>
      <c r="C120" s="93"/>
      <c r="D120" s="112"/>
      <c r="F120" s="95"/>
      <c r="G120" s="94"/>
      <c r="H120" s="94"/>
      <c r="I120" s="94"/>
      <c r="J120" s="94"/>
      <c r="K120" s="95"/>
      <c r="L120" s="94"/>
      <c r="M120" s="94"/>
      <c r="N120" s="94"/>
      <c r="O120" s="94"/>
      <c r="P120" s="96"/>
      <c r="Q120" s="97"/>
      <c r="R120" s="98"/>
      <c r="S120" s="98"/>
      <c r="T120" s="97"/>
      <c r="U120" s="99"/>
      <c r="V120" s="100"/>
      <c r="W120" s="100"/>
      <c r="X120" s="100"/>
      <c r="Y120" s="100"/>
      <c r="Z120" s="99"/>
      <c r="AA120" s="100"/>
      <c r="AB120" s="100"/>
      <c r="AC120" s="100"/>
      <c r="AD120" s="100"/>
      <c r="AE120" s="99"/>
      <c r="AF120" s="100"/>
      <c r="AG120" s="100"/>
      <c r="AH120" s="100"/>
      <c r="AI120" s="100"/>
    </row>
    <row r="121" spans="1:35">
      <c r="A121" s="5"/>
      <c r="B121" s="92"/>
      <c r="C121" s="93"/>
      <c r="D121" s="112"/>
      <c r="F121" s="95"/>
      <c r="G121" s="94"/>
      <c r="H121" s="94"/>
      <c r="I121" s="94"/>
      <c r="J121" s="94"/>
      <c r="K121" s="95"/>
      <c r="L121" s="94"/>
      <c r="M121" s="94"/>
      <c r="N121" s="94"/>
      <c r="O121" s="94"/>
      <c r="P121" s="96"/>
      <c r="Q121" s="97"/>
      <c r="R121" s="98"/>
      <c r="S121" s="98"/>
      <c r="T121" s="97"/>
      <c r="U121" s="99"/>
      <c r="V121" s="100"/>
      <c r="W121" s="100"/>
      <c r="X121" s="100"/>
      <c r="Y121" s="100"/>
      <c r="Z121" s="99"/>
      <c r="AA121" s="100"/>
      <c r="AB121" s="100"/>
      <c r="AC121" s="100"/>
      <c r="AD121" s="100"/>
      <c r="AE121" s="99"/>
      <c r="AF121" s="100"/>
      <c r="AG121" s="100"/>
      <c r="AH121" s="100"/>
      <c r="AI121" s="100"/>
    </row>
    <row r="122" spans="1:35">
      <c r="A122" s="5"/>
      <c r="B122" s="92"/>
      <c r="C122" s="93"/>
      <c r="D122" s="112"/>
      <c r="F122" s="95"/>
      <c r="G122" s="94"/>
      <c r="H122" s="94"/>
      <c r="I122" s="94"/>
      <c r="J122" s="94"/>
      <c r="K122" s="95"/>
      <c r="L122" s="94"/>
      <c r="M122" s="94"/>
      <c r="N122" s="94"/>
      <c r="O122" s="94"/>
      <c r="P122" s="96"/>
      <c r="Q122" s="97"/>
      <c r="R122" s="98"/>
      <c r="S122" s="98"/>
      <c r="T122" s="97"/>
      <c r="U122" s="99"/>
      <c r="V122" s="100"/>
      <c r="W122" s="100"/>
      <c r="X122" s="100"/>
      <c r="Y122" s="100"/>
      <c r="Z122" s="99"/>
      <c r="AA122" s="100"/>
      <c r="AB122" s="100"/>
      <c r="AC122" s="100"/>
      <c r="AD122" s="100"/>
      <c r="AE122" s="99"/>
      <c r="AF122" s="100"/>
      <c r="AG122" s="100"/>
      <c r="AH122" s="100"/>
      <c r="AI122" s="100"/>
    </row>
    <row r="123" spans="1:35">
      <c r="A123" s="5"/>
      <c r="B123" s="92"/>
      <c r="C123" s="93"/>
      <c r="D123" s="112"/>
      <c r="F123" s="95"/>
      <c r="G123" s="94"/>
      <c r="H123" s="94"/>
      <c r="I123" s="94"/>
      <c r="J123" s="94"/>
      <c r="K123" s="95"/>
      <c r="L123" s="94"/>
      <c r="M123" s="94"/>
      <c r="N123" s="94"/>
      <c r="O123" s="94"/>
      <c r="P123" s="96"/>
      <c r="Q123" s="97"/>
      <c r="R123" s="98"/>
      <c r="S123" s="98"/>
      <c r="T123" s="97"/>
      <c r="U123" s="99"/>
      <c r="V123" s="100"/>
      <c r="W123" s="100"/>
      <c r="X123" s="100"/>
      <c r="Y123" s="100"/>
      <c r="Z123" s="99"/>
      <c r="AA123" s="100"/>
      <c r="AB123" s="100"/>
      <c r="AC123" s="100"/>
      <c r="AD123" s="100"/>
      <c r="AE123" s="99"/>
      <c r="AF123" s="100"/>
      <c r="AG123" s="100"/>
      <c r="AH123" s="100"/>
      <c r="AI123" s="100"/>
    </row>
    <row r="124" spans="1:35">
      <c r="A124" s="5"/>
      <c r="B124" s="92"/>
      <c r="C124" s="93"/>
      <c r="D124" s="112"/>
      <c r="F124" s="95"/>
      <c r="G124" s="94"/>
      <c r="H124" s="94"/>
      <c r="I124" s="94"/>
      <c r="J124" s="94"/>
      <c r="K124" s="95"/>
      <c r="L124" s="94"/>
      <c r="M124" s="94"/>
      <c r="N124" s="94"/>
      <c r="O124" s="94"/>
      <c r="P124" s="96"/>
      <c r="Q124" s="97"/>
      <c r="R124" s="98"/>
      <c r="S124" s="98"/>
      <c r="T124" s="97"/>
      <c r="U124" s="99"/>
      <c r="V124" s="100"/>
      <c r="W124" s="100"/>
      <c r="X124" s="100"/>
      <c r="Y124" s="100"/>
      <c r="Z124" s="99"/>
      <c r="AA124" s="100"/>
      <c r="AB124" s="100"/>
      <c r="AC124" s="100"/>
      <c r="AD124" s="100"/>
      <c r="AE124" s="99"/>
      <c r="AF124" s="100"/>
      <c r="AG124" s="100"/>
      <c r="AH124" s="100"/>
      <c r="AI124" s="100"/>
    </row>
    <row r="125" spans="1:35">
      <c r="A125" s="5"/>
      <c r="B125" s="92"/>
      <c r="C125" s="93"/>
      <c r="D125" s="112"/>
      <c r="F125" s="95"/>
      <c r="G125" s="94"/>
      <c r="H125" s="94"/>
      <c r="I125" s="94"/>
      <c r="J125" s="94"/>
      <c r="K125" s="95"/>
      <c r="L125" s="94"/>
      <c r="M125" s="94"/>
      <c r="N125" s="94"/>
      <c r="O125" s="94"/>
      <c r="P125" s="96"/>
      <c r="Q125" s="97"/>
      <c r="R125" s="98"/>
      <c r="S125" s="98"/>
      <c r="T125" s="97"/>
      <c r="U125" s="99"/>
      <c r="V125" s="100"/>
      <c r="W125" s="100"/>
      <c r="X125" s="100"/>
      <c r="Y125" s="100"/>
      <c r="Z125" s="99"/>
      <c r="AA125" s="100"/>
      <c r="AB125" s="100"/>
      <c r="AC125" s="100"/>
      <c r="AD125" s="100"/>
      <c r="AE125" s="99"/>
      <c r="AF125" s="100"/>
      <c r="AG125" s="100"/>
      <c r="AH125" s="100"/>
      <c r="AI125" s="100"/>
    </row>
    <row r="126" spans="1:35">
      <c r="A126" s="5"/>
      <c r="B126" s="92"/>
      <c r="C126" s="93"/>
      <c r="D126" s="112"/>
      <c r="F126" s="95"/>
      <c r="G126" s="94"/>
      <c r="H126" s="94"/>
      <c r="I126" s="94"/>
      <c r="J126" s="94"/>
      <c r="K126" s="95"/>
      <c r="L126" s="94"/>
      <c r="M126" s="94"/>
      <c r="N126" s="94"/>
      <c r="O126" s="94"/>
      <c r="P126" s="96"/>
      <c r="Q126" s="97"/>
      <c r="R126" s="98"/>
      <c r="S126" s="98"/>
      <c r="T126" s="97"/>
      <c r="U126" s="99"/>
      <c r="V126" s="100"/>
      <c r="W126" s="100"/>
      <c r="X126" s="100"/>
      <c r="Y126" s="100"/>
      <c r="Z126" s="99"/>
      <c r="AA126" s="100"/>
      <c r="AB126" s="100"/>
      <c r="AC126" s="100"/>
      <c r="AD126" s="100"/>
      <c r="AE126" s="99"/>
      <c r="AF126" s="100"/>
      <c r="AG126" s="100"/>
      <c r="AH126" s="100"/>
      <c r="AI126" s="100"/>
    </row>
    <row r="127" spans="1:35">
      <c r="A127" s="5"/>
      <c r="B127" s="92"/>
      <c r="C127" s="93"/>
      <c r="D127" s="112"/>
      <c r="F127" s="95"/>
      <c r="G127" s="94"/>
      <c r="H127" s="94"/>
      <c r="I127" s="94"/>
      <c r="J127" s="94"/>
      <c r="K127" s="95"/>
      <c r="L127" s="94"/>
      <c r="M127" s="94"/>
      <c r="N127" s="94"/>
      <c r="O127" s="94"/>
      <c r="P127" s="96"/>
      <c r="Q127" s="97"/>
      <c r="R127" s="98"/>
      <c r="S127" s="98"/>
      <c r="T127" s="97"/>
      <c r="U127" s="99"/>
      <c r="V127" s="100"/>
      <c r="W127" s="100"/>
      <c r="X127" s="100"/>
      <c r="Y127" s="100"/>
      <c r="Z127" s="99"/>
      <c r="AA127" s="100"/>
      <c r="AB127" s="100"/>
      <c r="AC127" s="100"/>
      <c r="AD127" s="100"/>
      <c r="AE127" s="99"/>
      <c r="AF127" s="100"/>
      <c r="AG127" s="100"/>
      <c r="AH127" s="100"/>
      <c r="AI127" s="100"/>
    </row>
    <row r="128" spans="1:35">
      <c r="A128" s="5"/>
      <c r="B128" s="92"/>
      <c r="C128" s="93"/>
      <c r="D128" s="112"/>
      <c r="F128" s="95"/>
      <c r="G128" s="94"/>
      <c r="H128" s="94"/>
      <c r="I128" s="94"/>
      <c r="J128" s="94"/>
      <c r="K128" s="95"/>
      <c r="L128" s="94"/>
      <c r="M128" s="94"/>
      <c r="N128" s="94"/>
      <c r="O128" s="94"/>
      <c r="P128" s="96"/>
      <c r="Q128" s="97"/>
      <c r="R128" s="98"/>
      <c r="S128" s="98"/>
      <c r="T128" s="97"/>
      <c r="U128" s="99"/>
      <c r="V128" s="100"/>
      <c r="W128" s="100"/>
      <c r="X128" s="100"/>
      <c r="Y128" s="100"/>
      <c r="Z128" s="99"/>
      <c r="AA128" s="100"/>
      <c r="AB128" s="100"/>
      <c r="AC128" s="100"/>
      <c r="AD128" s="100"/>
      <c r="AE128" s="99"/>
      <c r="AF128" s="100"/>
      <c r="AG128" s="100"/>
      <c r="AH128" s="100"/>
      <c r="AI128" s="100"/>
    </row>
    <row r="129" spans="1:35">
      <c r="A129" s="5"/>
      <c r="B129" s="92"/>
      <c r="C129" s="93"/>
      <c r="D129" s="112"/>
      <c r="F129" s="95"/>
      <c r="G129" s="94"/>
      <c r="H129" s="94"/>
      <c r="I129" s="94"/>
      <c r="J129" s="94"/>
      <c r="K129" s="95"/>
      <c r="L129" s="94"/>
      <c r="M129" s="94"/>
      <c r="N129" s="94"/>
      <c r="O129" s="94"/>
      <c r="P129" s="96"/>
      <c r="Q129" s="97"/>
      <c r="R129" s="98"/>
      <c r="S129" s="98"/>
      <c r="T129" s="97"/>
      <c r="U129" s="99"/>
      <c r="V129" s="100"/>
      <c r="W129" s="100"/>
      <c r="X129" s="100"/>
      <c r="Y129" s="100"/>
      <c r="Z129" s="99"/>
      <c r="AA129" s="100"/>
      <c r="AB129" s="100"/>
      <c r="AC129" s="100"/>
      <c r="AD129" s="100"/>
      <c r="AE129" s="99"/>
      <c r="AF129" s="100"/>
      <c r="AG129" s="100"/>
      <c r="AH129" s="100"/>
      <c r="AI129" s="100"/>
    </row>
    <row r="130" spans="1:35">
      <c r="A130" s="5"/>
      <c r="B130" s="92"/>
      <c r="C130" s="93"/>
      <c r="D130" s="112"/>
      <c r="F130" s="95"/>
      <c r="G130" s="94"/>
      <c r="H130" s="94"/>
      <c r="I130" s="94"/>
      <c r="J130" s="94"/>
      <c r="K130" s="95"/>
      <c r="L130" s="94"/>
      <c r="M130" s="94"/>
      <c r="N130" s="94"/>
      <c r="O130" s="94"/>
      <c r="P130" s="96"/>
      <c r="Q130" s="97"/>
      <c r="R130" s="98"/>
      <c r="S130" s="98"/>
      <c r="T130" s="97"/>
      <c r="U130" s="99"/>
      <c r="V130" s="100"/>
      <c r="W130" s="100"/>
      <c r="X130" s="100"/>
      <c r="Y130" s="100"/>
      <c r="Z130" s="99"/>
      <c r="AA130" s="100"/>
      <c r="AB130" s="100"/>
      <c r="AC130" s="100"/>
      <c r="AD130" s="100"/>
      <c r="AE130" s="99"/>
      <c r="AF130" s="100"/>
      <c r="AG130" s="100"/>
      <c r="AH130" s="100"/>
      <c r="AI130" s="100"/>
    </row>
    <row r="131" spans="1:35">
      <c r="A131" s="5"/>
      <c r="B131" s="92"/>
      <c r="C131" s="93"/>
      <c r="D131" s="112"/>
      <c r="F131" s="95"/>
      <c r="G131" s="94"/>
      <c r="H131" s="94"/>
      <c r="I131" s="94"/>
      <c r="J131" s="94"/>
      <c r="K131" s="95"/>
      <c r="L131" s="94"/>
      <c r="M131" s="94"/>
      <c r="N131" s="94"/>
      <c r="O131" s="94"/>
      <c r="P131" s="96"/>
      <c r="Q131" s="97"/>
      <c r="R131" s="98"/>
      <c r="S131" s="98"/>
      <c r="T131" s="97"/>
      <c r="U131" s="99"/>
      <c r="V131" s="100"/>
      <c r="W131" s="100"/>
      <c r="X131" s="100"/>
      <c r="Y131" s="100"/>
      <c r="Z131" s="99"/>
      <c r="AA131" s="100"/>
      <c r="AB131" s="100"/>
      <c r="AC131" s="100"/>
      <c r="AD131" s="100"/>
      <c r="AE131" s="99"/>
      <c r="AF131" s="100"/>
      <c r="AG131" s="100"/>
      <c r="AH131" s="100"/>
      <c r="AI131" s="100"/>
    </row>
    <row r="132" spans="1:35">
      <c r="A132" s="5"/>
      <c r="B132" s="92"/>
      <c r="C132" s="93"/>
      <c r="D132" s="112"/>
      <c r="F132" s="95"/>
      <c r="G132" s="94"/>
      <c r="H132" s="94"/>
      <c r="I132" s="94"/>
      <c r="J132" s="94"/>
      <c r="K132" s="95"/>
      <c r="L132" s="94"/>
      <c r="M132" s="94"/>
      <c r="N132" s="94"/>
      <c r="O132" s="94"/>
      <c r="P132" s="96"/>
      <c r="Q132" s="97"/>
      <c r="R132" s="98"/>
      <c r="S132" s="98"/>
      <c r="T132" s="97"/>
      <c r="U132" s="99"/>
      <c r="V132" s="100"/>
      <c r="W132" s="100"/>
      <c r="X132" s="100"/>
      <c r="Y132" s="100"/>
      <c r="Z132" s="99"/>
      <c r="AA132" s="100"/>
      <c r="AB132" s="100"/>
      <c r="AC132" s="100"/>
      <c r="AD132" s="100"/>
      <c r="AE132" s="99"/>
      <c r="AF132" s="100"/>
      <c r="AG132" s="100"/>
      <c r="AH132" s="100"/>
      <c r="AI132" s="100"/>
    </row>
    <row r="133" spans="1:35">
      <c r="A133" s="5"/>
      <c r="B133" s="92"/>
      <c r="C133" s="93"/>
      <c r="D133" s="112"/>
      <c r="F133" s="95"/>
      <c r="G133" s="94"/>
      <c r="H133" s="94"/>
      <c r="I133" s="94"/>
      <c r="J133" s="94"/>
      <c r="K133" s="95"/>
      <c r="L133" s="94"/>
      <c r="M133" s="94"/>
      <c r="N133" s="94"/>
      <c r="O133" s="94"/>
      <c r="P133" s="96"/>
      <c r="Q133" s="97"/>
      <c r="R133" s="98"/>
      <c r="S133" s="98"/>
      <c r="T133" s="97"/>
      <c r="U133" s="99"/>
      <c r="V133" s="100"/>
      <c r="W133" s="100"/>
      <c r="X133" s="100"/>
      <c r="Y133" s="100"/>
      <c r="Z133" s="99"/>
      <c r="AA133" s="100"/>
      <c r="AB133" s="100"/>
      <c r="AC133" s="100"/>
      <c r="AD133" s="100"/>
      <c r="AE133" s="99"/>
      <c r="AF133" s="100"/>
      <c r="AG133" s="100"/>
      <c r="AH133" s="100"/>
      <c r="AI133" s="100"/>
    </row>
    <row r="134" spans="1:35">
      <c r="A134" s="5"/>
      <c r="B134" s="92"/>
      <c r="C134" s="93"/>
      <c r="D134" s="112"/>
      <c r="F134" s="95"/>
      <c r="G134" s="94"/>
      <c r="H134" s="94"/>
      <c r="I134" s="94"/>
      <c r="J134" s="94"/>
      <c r="K134" s="95"/>
      <c r="L134" s="94"/>
      <c r="M134" s="94"/>
      <c r="N134" s="94"/>
      <c r="O134" s="94"/>
      <c r="P134" s="96"/>
      <c r="Q134" s="97"/>
      <c r="R134" s="98"/>
      <c r="S134" s="98"/>
      <c r="T134" s="97"/>
      <c r="U134" s="99"/>
      <c r="V134" s="100"/>
      <c r="W134" s="100"/>
      <c r="X134" s="100"/>
      <c r="Y134" s="100"/>
      <c r="Z134" s="99"/>
      <c r="AA134" s="100"/>
      <c r="AB134" s="100"/>
      <c r="AC134" s="100"/>
      <c r="AD134" s="100"/>
      <c r="AE134" s="99"/>
      <c r="AF134" s="100"/>
      <c r="AG134" s="100"/>
      <c r="AH134" s="100"/>
      <c r="AI134" s="100"/>
    </row>
    <row r="135" spans="1:35">
      <c r="A135" s="5"/>
      <c r="B135" s="92"/>
      <c r="C135" s="93"/>
      <c r="D135" s="112"/>
      <c r="F135" s="95"/>
      <c r="G135" s="94"/>
      <c r="H135" s="94"/>
      <c r="I135" s="94"/>
      <c r="J135" s="94"/>
      <c r="K135" s="95"/>
      <c r="L135" s="94"/>
      <c r="M135" s="94"/>
      <c r="N135" s="94"/>
      <c r="O135" s="94"/>
      <c r="P135" s="96"/>
      <c r="Q135" s="97"/>
      <c r="R135" s="98"/>
      <c r="S135" s="98"/>
      <c r="T135" s="97"/>
      <c r="U135" s="99"/>
      <c r="V135" s="100"/>
      <c r="W135" s="100"/>
      <c r="X135" s="100"/>
      <c r="Y135" s="100"/>
      <c r="Z135" s="99"/>
      <c r="AA135" s="100"/>
      <c r="AB135" s="100"/>
      <c r="AC135" s="100"/>
      <c r="AD135" s="100"/>
      <c r="AE135" s="99"/>
      <c r="AF135" s="100"/>
      <c r="AG135" s="100"/>
      <c r="AH135" s="100"/>
      <c r="AI135" s="100"/>
    </row>
    <row r="136" spans="1:35">
      <c r="A136" s="5"/>
      <c r="B136" s="92"/>
      <c r="C136" s="93"/>
      <c r="D136" s="112"/>
      <c r="F136" s="95"/>
      <c r="G136" s="94"/>
      <c r="H136" s="94"/>
      <c r="I136" s="94"/>
      <c r="J136" s="94"/>
      <c r="K136" s="95"/>
      <c r="L136" s="94"/>
      <c r="M136" s="94"/>
      <c r="N136" s="94"/>
      <c r="O136" s="94"/>
      <c r="P136" s="96"/>
      <c r="Q136" s="97"/>
      <c r="R136" s="98"/>
      <c r="S136" s="98"/>
      <c r="T136" s="97"/>
      <c r="U136" s="99"/>
      <c r="V136" s="100"/>
      <c r="W136" s="100"/>
      <c r="X136" s="100"/>
      <c r="Y136" s="100"/>
      <c r="Z136" s="99"/>
      <c r="AA136" s="100"/>
      <c r="AB136" s="100"/>
      <c r="AC136" s="100"/>
      <c r="AD136" s="100"/>
      <c r="AE136" s="99"/>
      <c r="AF136" s="100"/>
      <c r="AG136" s="100"/>
      <c r="AH136" s="100"/>
      <c r="AI136" s="100"/>
    </row>
    <row r="137" spans="1:35">
      <c r="A137" s="5"/>
      <c r="B137" s="92"/>
      <c r="C137" s="93"/>
      <c r="D137" s="112"/>
      <c r="F137" s="95"/>
      <c r="G137" s="94"/>
      <c r="H137" s="94"/>
      <c r="I137" s="94"/>
      <c r="J137" s="94"/>
      <c r="K137" s="95"/>
      <c r="L137" s="94"/>
      <c r="M137" s="94"/>
      <c r="N137" s="94"/>
      <c r="O137" s="94"/>
      <c r="P137" s="96"/>
      <c r="Q137" s="97"/>
      <c r="R137" s="98"/>
      <c r="S137" s="98"/>
      <c r="T137" s="97"/>
      <c r="U137" s="99"/>
      <c r="V137" s="100"/>
      <c r="W137" s="100"/>
      <c r="X137" s="100"/>
      <c r="Y137" s="100"/>
      <c r="Z137" s="99"/>
      <c r="AA137" s="100"/>
      <c r="AB137" s="100"/>
      <c r="AC137" s="100"/>
      <c r="AD137" s="100"/>
      <c r="AE137" s="99"/>
      <c r="AF137" s="100"/>
      <c r="AG137" s="100"/>
      <c r="AH137" s="100"/>
      <c r="AI137" s="100"/>
    </row>
    <row r="138" spans="1:35">
      <c r="A138" s="5"/>
      <c r="B138" s="92"/>
      <c r="C138" s="93"/>
      <c r="D138" s="112"/>
      <c r="F138" s="95"/>
      <c r="G138" s="94"/>
      <c r="H138" s="94"/>
      <c r="I138" s="94"/>
      <c r="J138" s="94"/>
      <c r="K138" s="95"/>
      <c r="L138" s="94"/>
      <c r="M138" s="94"/>
      <c r="N138" s="94"/>
      <c r="O138" s="94"/>
      <c r="P138" s="96"/>
      <c r="Q138" s="97"/>
      <c r="R138" s="98"/>
      <c r="S138" s="98"/>
      <c r="T138" s="97"/>
      <c r="U138" s="99"/>
      <c r="V138" s="100"/>
      <c r="W138" s="100"/>
      <c r="X138" s="100"/>
      <c r="Y138" s="100"/>
      <c r="Z138" s="99"/>
      <c r="AA138" s="100"/>
      <c r="AB138" s="100"/>
      <c r="AC138" s="100"/>
      <c r="AD138" s="100"/>
      <c r="AE138" s="99"/>
      <c r="AF138" s="100"/>
      <c r="AG138" s="100"/>
      <c r="AH138" s="100"/>
      <c r="AI138" s="100"/>
    </row>
    <row r="139" spans="1:35">
      <c r="A139" s="5"/>
      <c r="B139" s="92"/>
      <c r="C139" s="93"/>
      <c r="D139" s="112"/>
      <c r="F139" s="95"/>
      <c r="G139" s="94"/>
      <c r="H139" s="94"/>
      <c r="I139" s="94"/>
      <c r="J139" s="94"/>
      <c r="K139" s="95"/>
      <c r="L139" s="94"/>
      <c r="M139" s="94"/>
      <c r="N139" s="94"/>
      <c r="O139" s="94"/>
      <c r="P139" s="96"/>
      <c r="Q139" s="97"/>
      <c r="R139" s="98"/>
      <c r="S139" s="98"/>
      <c r="T139" s="97"/>
      <c r="U139" s="99"/>
      <c r="V139" s="100"/>
      <c r="W139" s="100"/>
      <c r="X139" s="100"/>
      <c r="Y139" s="100"/>
      <c r="Z139" s="99"/>
      <c r="AA139" s="100"/>
      <c r="AB139" s="100"/>
      <c r="AC139" s="100"/>
      <c r="AD139" s="100"/>
      <c r="AE139" s="99"/>
      <c r="AF139" s="100"/>
      <c r="AG139" s="100"/>
      <c r="AH139" s="100"/>
      <c r="AI139" s="100"/>
    </row>
    <row r="140" spans="1:35">
      <c r="A140" s="5"/>
      <c r="B140" s="92"/>
      <c r="C140" s="93"/>
      <c r="D140" s="112"/>
      <c r="F140" s="95"/>
      <c r="G140" s="94"/>
      <c r="H140" s="94"/>
      <c r="I140" s="94"/>
      <c r="J140" s="94"/>
      <c r="K140" s="95"/>
      <c r="L140" s="94"/>
      <c r="M140" s="94"/>
      <c r="N140" s="94"/>
      <c r="O140" s="94"/>
      <c r="P140" s="96"/>
      <c r="Q140" s="97"/>
      <c r="R140" s="98"/>
      <c r="S140" s="98"/>
      <c r="T140" s="97"/>
      <c r="U140" s="99"/>
      <c r="V140" s="100"/>
      <c r="W140" s="100"/>
      <c r="X140" s="100"/>
      <c r="Y140" s="100"/>
      <c r="Z140" s="99"/>
      <c r="AA140" s="100"/>
      <c r="AB140" s="100"/>
      <c r="AC140" s="100"/>
      <c r="AD140" s="100"/>
      <c r="AE140" s="99"/>
      <c r="AF140" s="100"/>
      <c r="AG140" s="100"/>
      <c r="AH140" s="100"/>
      <c r="AI140" s="100"/>
    </row>
    <row r="141" spans="1:35">
      <c r="A141" s="5"/>
      <c r="B141" s="92"/>
      <c r="C141" s="93"/>
      <c r="D141" s="112"/>
      <c r="F141" s="95"/>
      <c r="G141" s="94"/>
      <c r="H141" s="94"/>
      <c r="I141" s="94"/>
      <c r="J141" s="94"/>
      <c r="K141" s="95"/>
      <c r="L141" s="94"/>
      <c r="M141" s="94"/>
      <c r="N141" s="94"/>
      <c r="O141" s="94"/>
      <c r="P141" s="96"/>
      <c r="Q141" s="97"/>
      <c r="R141" s="98"/>
      <c r="S141" s="98"/>
      <c r="T141" s="97"/>
      <c r="U141" s="99"/>
      <c r="V141" s="100"/>
      <c r="W141" s="100"/>
      <c r="X141" s="100"/>
      <c r="Y141" s="100"/>
      <c r="Z141" s="99"/>
      <c r="AA141" s="100"/>
      <c r="AB141" s="100"/>
      <c r="AC141" s="100"/>
      <c r="AD141" s="100"/>
      <c r="AE141" s="99"/>
      <c r="AF141" s="100"/>
      <c r="AG141" s="100"/>
      <c r="AH141" s="100"/>
      <c r="AI141" s="100"/>
    </row>
    <row r="142" spans="1:35">
      <c r="A142" s="5"/>
      <c r="B142" s="92"/>
      <c r="C142" s="93"/>
      <c r="D142" s="112"/>
      <c r="F142" s="95"/>
      <c r="G142" s="94"/>
      <c r="H142" s="94"/>
      <c r="I142" s="94"/>
      <c r="J142" s="94"/>
      <c r="K142" s="95"/>
      <c r="L142" s="94"/>
      <c r="M142" s="94"/>
      <c r="N142" s="94"/>
      <c r="O142" s="94"/>
      <c r="P142" s="96"/>
      <c r="Q142" s="97"/>
      <c r="R142" s="98"/>
      <c r="S142" s="98"/>
      <c r="T142" s="97"/>
      <c r="U142" s="99"/>
      <c r="V142" s="100"/>
      <c r="W142" s="100"/>
      <c r="X142" s="100"/>
      <c r="Y142" s="100"/>
      <c r="Z142" s="99"/>
      <c r="AA142" s="100"/>
      <c r="AB142" s="100"/>
      <c r="AC142" s="100"/>
      <c r="AD142" s="100"/>
      <c r="AE142" s="99"/>
      <c r="AF142" s="100"/>
      <c r="AG142" s="100"/>
      <c r="AH142" s="100"/>
      <c r="AI142" s="100"/>
    </row>
    <row r="143" spans="1:35">
      <c r="A143" s="5"/>
      <c r="B143" s="92"/>
      <c r="C143" s="93"/>
      <c r="D143" s="112"/>
      <c r="F143" s="95"/>
      <c r="G143" s="94"/>
      <c r="H143" s="94"/>
      <c r="I143" s="94"/>
      <c r="J143" s="94"/>
      <c r="K143" s="95"/>
      <c r="L143" s="94"/>
      <c r="M143" s="94"/>
      <c r="N143" s="94"/>
      <c r="O143" s="94"/>
      <c r="P143" s="96"/>
      <c r="Q143" s="97"/>
      <c r="R143" s="98"/>
      <c r="S143" s="98"/>
      <c r="T143" s="97"/>
      <c r="U143" s="99"/>
      <c r="V143" s="100"/>
      <c r="W143" s="100"/>
      <c r="X143" s="100"/>
      <c r="Y143" s="100"/>
      <c r="Z143" s="99"/>
      <c r="AA143" s="100"/>
      <c r="AB143" s="100"/>
      <c r="AC143" s="100"/>
      <c r="AD143" s="100"/>
      <c r="AE143" s="99"/>
      <c r="AF143" s="100"/>
      <c r="AG143" s="100"/>
      <c r="AH143" s="100"/>
      <c r="AI143" s="100"/>
    </row>
    <row r="144" spans="1:35">
      <c r="A144" s="5"/>
      <c r="B144" s="92"/>
      <c r="C144" s="93"/>
      <c r="D144" s="112"/>
      <c r="F144" s="95"/>
      <c r="G144" s="94"/>
      <c r="H144" s="94"/>
      <c r="I144" s="94"/>
      <c r="J144" s="94"/>
      <c r="K144" s="95"/>
      <c r="L144" s="94"/>
      <c r="M144" s="94"/>
      <c r="N144" s="94"/>
      <c r="O144" s="94"/>
      <c r="P144" s="96"/>
      <c r="Q144" s="97"/>
      <c r="R144" s="98"/>
      <c r="S144" s="98"/>
      <c r="T144" s="97"/>
      <c r="U144" s="99"/>
      <c r="V144" s="100"/>
      <c r="W144" s="100"/>
      <c r="X144" s="100"/>
      <c r="Y144" s="100"/>
      <c r="Z144" s="99"/>
      <c r="AA144" s="100"/>
      <c r="AB144" s="100"/>
      <c r="AC144" s="100"/>
      <c r="AD144" s="100"/>
      <c r="AE144" s="99"/>
      <c r="AF144" s="100"/>
      <c r="AG144" s="100"/>
      <c r="AH144" s="100"/>
      <c r="AI144" s="100"/>
    </row>
    <row r="145" spans="1:35">
      <c r="A145" s="5"/>
      <c r="B145" s="92"/>
      <c r="C145" s="93"/>
      <c r="D145" s="112"/>
      <c r="F145" s="95"/>
      <c r="G145" s="94"/>
      <c r="H145" s="94"/>
      <c r="I145" s="94"/>
      <c r="J145" s="94"/>
      <c r="K145" s="95"/>
      <c r="L145" s="94"/>
      <c r="M145" s="94"/>
      <c r="N145" s="94"/>
      <c r="O145" s="94"/>
      <c r="P145" s="96"/>
      <c r="Q145" s="97"/>
      <c r="R145" s="98"/>
      <c r="S145" s="98"/>
      <c r="T145" s="97"/>
      <c r="U145" s="99"/>
      <c r="V145" s="100"/>
      <c r="W145" s="100"/>
      <c r="X145" s="100"/>
      <c r="Y145" s="100"/>
      <c r="Z145" s="99"/>
      <c r="AA145" s="100"/>
      <c r="AB145" s="100"/>
      <c r="AC145" s="100"/>
      <c r="AD145" s="100"/>
      <c r="AE145" s="99"/>
      <c r="AF145" s="100"/>
      <c r="AG145" s="100"/>
      <c r="AH145" s="100"/>
      <c r="AI145" s="100"/>
    </row>
    <row r="146" spans="1:35">
      <c r="A146" s="5"/>
      <c r="B146" s="92"/>
      <c r="C146" s="93"/>
      <c r="D146" s="112"/>
      <c r="F146" s="95"/>
      <c r="G146" s="94"/>
      <c r="H146" s="94"/>
      <c r="I146" s="94"/>
      <c r="J146" s="94"/>
      <c r="K146" s="95"/>
      <c r="L146" s="94"/>
      <c r="M146" s="94"/>
      <c r="N146" s="94"/>
      <c r="O146" s="94"/>
      <c r="P146" s="96"/>
      <c r="Q146" s="97"/>
      <c r="R146" s="98"/>
      <c r="S146" s="98"/>
      <c r="T146" s="97"/>
      <c r="U146" s="99"/>
      <c r="V146" s="100"/>
      <c r="W146" s="100"/>
      <c r="X146" s="100"/>
      <c r="Y146" s="100"/>
      <c r="Z146" s="99"/>
      <c r="AA146" s="100"/>
      <c r="AB146" s="100"/>
      <c r="AC146" s="100"/>
      <c r="AD146" s="100"/>
      <c r="AE146" s="99"/>
      <c r="AF146" s="100"/>
      <c r="AG146" s="100"/>
      <c r="AH146" s="100"/>
      <c r="AI146" s="100"/>
    </row>
    <row r="147" spans="1:35">
      <c r="A147" s="5"/>
      <c r="B147" s="92"/>
      <c r="C147" s="93"/>
      <c r="D147" s="112"/>
      <c r="F147" s="95"/>
      <c r="G147" s="94"/>
      <c r="H147" s="94"/>
      <c r="I147" s="94"/>
      <c r="J147" s="94"/>
      <c r="K147" s="95"/>
      <c r="L147" s="94"/>
      <c r="M147" s="94"/>
      <c r="N147" s="94"/>
      <c r="O147" s="94"/>
      <c r="P147" s="96"/>
      <c r="Q147" s="97"/>
      <c r="R147" s="98"/>
      <c r="S147" s="98"/>
      <c r="T147" s="97"/>
      <c r="U147" s="99"/>
      <c r="V147" s="100"/>
      <c r="W147" s="100"/>
      <c r="X147" s="100"/>
      <c r="Y147" s="100"/>
      <c r="Z147" s="99"/>
      <c r="AA147" s="100"/>
      <c r="AB147" s="100"/>
      <c r="AC147" s="100"/>
      <c r="AD147" s="100"/>
      <c r="AE147" s="99"/>
      <c r="AF147" s="100"/>
      <c r="AG147" s="100"/>
      <c r="AH147" s="100"/>
      <c r="AI147" s="100"/>
    </row>
    <row r="148" spans="1:35">
      <c r="A148" s="5"/>
      <c r="B148" s="92"/>
      <c r="C148" s="93"/>
      <c r="D148" s="112"/>
      <c r="F148" s="95"/>
      <c r="G148" s="94"/>
      <c r="H148" s="94"/>
      <c r="I148" s="94"/>
      <c r="J148" s="94"/>
      <c r="K148" s="95"/>
      <c r="L148" s="94"/>
      <c r="M148" s="94"/>
      <c r="N148" s="94"/>
      <c r="O148" s="94"/>
      <c r="P148" s="96"/>
      <c r="Q148" s="97"/>
      <c r="R148" s="98"/>
      <c r="S148" s="98"/>
      <c r="T148" s="97"/>
      <c r="U148" s="99"/>
      <c r="V148" s="100"/>
      <c r="W148" s="100"/>
      <c r="X148" s="100"/>
      <c r="Y148" s="100"/>
      <c r="Z148" s="99"/>
      <c r="AA148" s="100"/>
      <c r="AB148" s="100"/>
      <c r="AC148" s="100"/>
      <c r="AD148" s="100"/>
      <c r="AE148" s="99"/>
      <c r="AF148" s="100"/>
      <c r="AG148" s="100"/>
      <c r="AH148" s="100"/>
      <c r="AI148" s="100"/>
    </row>
    <row r="149" spans="1:35">
      <c r="A149" s="5"/>
      <c r="B149" s="92"/>
      <c r="C149" s="93"/>
      <c r="D149" s="112"/>
      <c r="F149" s="95"/>
      <c r="G149" s="94"/>
      <c r="H149" s="94"/>
      <c r="I149" s="94"/>
      <c r="J149" s="94"/>
      <c r="K149" s="95"/>
      <c r="L149" s="94"/>
      <c r="M149" s="94"/>
      <c r="N149" s="94"/>
      <c r="O149" s="94"/>
      <c r="P149" s="96"/>
      <c r="Q149" s="97"/>
      <c r="R149" s="98"/>
      <c r="S149" s="98"/>
      <c r="T149" s="97"/>
      <c r="U149" s="99"/>
      <c r="V149" s="100"/>
      <c r="W149" s="100"/>
      <c r="X149" s="100"/>
      <c r="Y149" s="100"/>
      <c r="Z149" s="99"/>
      <c r="AA149" s="100"/>
      <c r="AB149" s="100"/>
      <c r="AC149" s="100"/>
      <c r="AD149" s="100"/>
      <c r="AE149" s="99"/>
      <c r="AF149" s="100"/>
      <c r="AG149" s="100"/>
      <c r="AH149" s="100"/>
      <c r="AI149" s="100"/>
    </row>
    <row r="150" spans="1:35">
      <c r="A150" s="5"/>
      <c r="B150" s="92"/>
      <c r="C150" s="93"/>
      <c r="D150" s="112"/>
      <c r="F150" s="95"/>
      <c r="G150" s="94"/>
      <c r="H150" s="94"/>
      <c r="I150" s="94"/>
      <c r="J150" s="94"/>
      <c r="K150" s="95"/>
      <c r="L150" s="94"/>
      <c r="M150" s="94"/>
      <c r="N150" s="94"/>
      <c r="O150" s="94"/>
      <c r="P150" s="96"/>
      <c r="Q150" s="97"/>
      <c r="R150" s="98"/>
      <c r="S150" s="98"/>
      <c r="T150" s="97"/>
      <c r="U150" s="99"/>
      <c r="V150" s="100"/>
      <c r="W150" s="100"/>
      <c r="X150" s="100"/>
      <c r="Y150" s="100"/>
      <c r="Z150" s="99"/>
      <c r="AA150" s="100"/>
      <c r="AB150" s="100"/>
      <c r="AC150" s="100"/>
      <c r="AD150" s="100"/>
      <c r="AE150" s="99"/>
      <c r="AF150" s="100"/>
      <c r="AG150" s="100"/>
      <c r="AH150" s="100"/>
      <c r="AI150" s="100"/>
    </row>
    <row r="151" spans="1:35">
      <c r="A151" s="5"/>
      <c r="B151" s="92"/>
      <c r="C151" s="93"/>
      <c r="D151" s="112"/>
      <c r="F151" s="95"/>
      <c r="G151" s="94"/>
      <c r="H151" s="94"/>
      <c r="I151" s="94"/>
      <c r="J151" s="94"/>
      <c r="K151" s="95"/>
      <c r="L151" s="94"/>
      <c r="M151" s="94"/>
      <c r="N151" s="94"/>
      <c r="O151" s="94"/>
      <c r="P151" s="96"/>
      <c r="Q151" s="97"/>
      <c r="R151" s="98"/>
      <c r="S151" s="98"/>
      <c r="T151" s="97"/>
      <c r="U151" s="99"/>
      <c r="V151" s="100"/>
      <c r="W151" s="100"/>
      <c r="X151" s="100"/>
      <c r="Y151" s="100"/>
      <c r="Z151" s="99"/>
      <c r="AA151" s="100"/>
      <c r="AB151" s="100"/>
      <c r="AC151" s="100"/>
      <c r="AD151" s="100"/>
      <c r="AE151" s="99"/>
      <c r="AF151" s="100"/>
      <c r="AG151" s="100"/>
      <c r="AH151" s="100"/>
      <c r="AI151" s="100"/>
    </row>
    <row r="152" spans="1:35">
      <c r="A152" s="5"/>
      <c r="B152" s="92"/>
      <c r="C152" s="93"/>
      <c r="D152" s="112"/>
      <c r="F152" s="95"/>
      <c r="G152" s="94"/>
      <c r="H152" s="94"/>
      <c r="I152" s="94"/>
      <c r="J152" s="94"/>
      <c r="K152" s="95"/>
      <c r="L152" s="94"/>
      <c r="M152" s="94"/>
      <c r="N152" s="94"/>
      <c r="O152" s="94"/>
      <c r="P152" s="96"/>
      <c r="Q152" s="97"/>
      <c r="R152" s="98"/>
      <c r="S152" s="98"/>
      <c r="T152" s="97"/>
      <c r="U152" s="99"/>
      <c r="V152" s="100"/>
      <c r="W152" s="100"/>
      <c r="X152" s="100"/>
      <c r="Y152" s="100"/>
      <c r="Z152" s="99"/>
      <c r="AA152" s="100"/>
      <c r="AB152" s="100"/>
      <c r="AC152" s="100"/>
      <c r="AD152" s="100"/>
      <c r="AE152" s="99"/>
      <c r="AF152" s="100"/>
      <c r="AG152" s="100"/>
      <c r="AH152" s="100"/>
      <c r="AI152" s="100"/>
    </row>
    <row r="153" spans="1:35">
      <c r="A153" s="5"/>
      <c r="B153" s="92"/>
      <c r="C153" s="93"/>
      <c r="D153" s="112"/>
      <c r="F153" s="95"/>
      <c r="G153" s="94"/>
      <c r="H153" s="94"/>
      <c r="I153" s="94"/>
      <c r="J153" s="94"/>
      <c r="K153" s="95"/>
      <c r="L153" s="94"/>
      <c r="M153" s="94"/>
      <c r="N153" s="94"/>
      <c r="O153" s="94"/>
      <c r="P153" s="96"/>
      <c r="Q153" s="97"/>
      <c r="R153" s="98"/>
      <c r="S153" s="98"/>
      <c r="T153" s="97"/>
      <c r="U153" s="99"/>
      <c r="V153" s="100"/>
      <c r="W153" s="100"/>
      <c r="X153" s="100"/>
      <c r="Y153" s="100"/>
      <c r="Z153" s="99"/>
      <c r="AA153" s="100"/>
      <c r="AB153" s="100"/>
      <c r="AC153" s="100"/>
      <c r="AD153" s="100"/>
      <c r="AE153" s="99"/>
      <c r="AF153" s="100"/>
      <c r="AG153" s="100"/>
      <c r="AH153" s="100"/>
      <c r="AI153" s="100"/>
    </row>
    <row r="154" spans="1:35">
      <c r="A154" s="5"/>
      <c r="B154" s="92"/>
      <c r="C154" s="93"/>
      <c r="D154" s="112"/>
      <c r="F154" s="95"/>
      <c r="G154" s="94"/>
      <c r="H154" s="94"/>
      <c r="I154" s="94"/>
      <c r="J154" s="94"/>
      <c r="K154" s="95"/>
      <c r="L154" s="94"/>
      <c r="M154" s="94"/>
      <c r="N154" s="94"/>
      <c r="O154" s="94"/>
      <c r="P154" s="96"/>
      <c r="Q154" s="97"/>
      <c r="R154" s="98"/>
      <c r="S154" s="98"/>
      <c r="T154" s="97"/>
      <c r="U154" s="99"/>
      <c r="V154" s="100"/>
      <c r="W154" s="100"/>
      <c r="X154" s="100"/>
      <c r="Y154" s="100"/>
      <c r="Z154" s="99"/>
      <c r="AA154" s="100"/>
      <c r="AB154" s="100"/>
      <c r="AC154" s="100"/>
      <c r="AD154" s="100"/>
      <c r="AE154" s="99"/>
      <c r="AF154" s="100"/>
      <c r="AG154" s="100"/>
      <c r="AH154" s="100"/>
      <c r="AI154" s="100"/>
    </row>
    <row r="155" spans="1:35">
      <c r="A155" s="5"/>
      <c r="B155" s="92"/>
      <c r="C155" s="93"/>
      <c r="D155" s="112"/>
      <c r="F155" s="95"/>
      <c r="G155" s="94"/>
      <c r="H155" s="94"/>
      <c r="I155" s="94"/>
      <c r="J155" s="94"/>
      <c r="K155" s="95"/>
      <c r="L155" s="94"/>
      <c r="M155" s="94"/>
      <c r="N155" s="94"/>
      <c r="O155" s="94"/>
      <c r="P155" s="96"/>
      <c r="Q155" s="97"/>
      <c r="R155" s="98"/>
      <c r="S155" s="98"/>
      <c r="T155" s="97"/>
      <c r="U155" s="99"/>
      <c r="V155" s="100"/>
      <c r="W155" s="100"/>
      <c r="X155" s="100"/>
      <c r="Y155" s="100"/>
      <c r="Z155" s="99"/>
      <c r="AA155" s="100"/>
      <c r="AB155" s="100"/>
      <c r="AC155" s="100"/>
      <c r="AD155" s="100"/>
      <c r="AE155" s="99"/>
      <c r="AF155" s="100"/>
      <c r="AG155" s="100"/>
      <c r="AH155" s="100"/>
      <c r="AI155" s="100"/>
    </row>
    <row r="156" spans="1:35">
      <c r="A156" s="5"/>
      <c r="B156" s="92"/>
      <c r="C156" s="93"/>
      <c r="D156" s="112"/>
      <c r="F156" s="95"/>
      <c r="G156" s="94"/>
      <c r="H156" s="94"/>
      <c r="I156" s="94"/>
      <c r="J156" s="94"/>
      <c r="K156" s="95"/>
      <c r="L156" s="94"/>
      <c r="M156" s="94"/>
      <c r="N156" s="94"/>
      <c r="O156" s="94"/>
      <c r="P156" s="96"/>
      <c r="Q156" s="97"/>
      <c r="R156" s="98"/>
      <c r="S156" s="98"/>
      <c r="T156" s="97"/>
      <c r="U156" s="99"/>
      <c r="V156" s="100"/>
      <c r="W156" s="100"/>
      <c r="X156" s="100"/>
      <c r="Y156" s="100"/>
      <c r="Z156" s="99"/>
      <c r="AA156" s="100"/>
      <c r="AB156" s="100"/>
      <c r="AC156" s="100"/>
      <c r="AD156" s="100"/>
      <c r="AE156" s="99"/>
      <c r="AF156" s="100"/>
      <c r="AG156" s="100"/>
      <c r="AH156" s="100"/>
      <c r="AI156" s="100"/>
    </row>
    <row r="157" spans="1:35">
      <c r="A157" s="5"/>
      <c r="B157" s="92"/>
      <c r="C157" s="93"/>
      <c r="D157" s="112"/>
      <c r="F157" s="95"/>
      <c r="G157" s="94"/>
      <c r="H157" s="94"/>
      <c r="I157" s="94"/>
      <c r="J157" s="94"/>
      <c r="K157" s="95"/>
      <c r="L157" s="94"/>
      <c r="M157" s="94"/>
      <c r="N157" s="94"/>
      <c r="O157" s="94"/>
      <c r="P157" s="96"/>
      <c r="Q157" s="97"/>
      <c r="R157" s="98"/>
      <c r="S157" s="98"/>
      <c r="T157" s="97"/>
      <c r="U157" s="99"/>
      <c r="V157" s="100"/>
      <c r="W157" s="100"/>
      <c r="X157" s="100"/>
      <c r="Y157" s="100"/>
      <c r="Z157" s="99"/>
      <c r="AA157" s="100"/>
      <c r="AB157" s="100"/>
      <c r="AC157" s="100"/>
      <c r="AD157" s="100"/>
      <c r="AE157" s="99"/>
      <c r="AF157" s="100"/>
      <c r="AG157" s="100"/>
      <c r="AH157" s="100"/>
      <c r="AI157" s="100"/>
    </row>
    <row r="158" spans="1:35">
      <c r="A158" s="5"/>
      <c r="B158" s="92"/>
      <c r="C158" s="93"/>
      <c r="D158" s="112"/>
      <c r="F158" s="95"/>
      <c r="G158" s="94"/>
      <c r="H158" s="94"/>
      <c r="I158" s="94"/>
      <c r="J158" s="94"/>
      <c r="K158" s="95"/>
      <c r="L158" s="94"/>
      <c r="M158" s="94"/>
      <c r="N158" s="94"/>
      <c r="O158" s="94"/>
      <c r="P158" s="96"/>
      <c r="Q158" s="97"/>
      <c r="R158" s="98"/>
      <c r="S158" s="98"/>
      <c r="T158" s="97"/>
      <c r="U158" s="99"/>
      <c r="V158" s="100"/>
      <c r="W158" s="100"/>
      <c r="X158" s="100"/>
      <c r="Y158" s="100"/>
      <c r="Z158" s="99"/>
      <c r="AA158" s="100"/>
      <c r="AB158" s="100"/>
      <c r="AC158" s="100"/>
      <c r="AD158" s="100"/>
      <c r="AE158" s="99"/>
      <c r="AF158" s="100"/>
      <c r="AG158" s="100"/>
      <c r="AH158" s="100"/>
      <c r="AI158" s="100"/>
    </row>
    <row r="159" spans="1:35">
      <c r="A159" s="5"/>
      <c r="B159" s="92"/>
      <c r="C159" s="93"/>
      <c r="D159" s="112"/>
      <c r="F159" s="95"/>
      <c r="G159" s="94"/>
      <c r="H159" s="94"/>
      <c r="I159" s="94"/>
      <c r="J159" s="94"/>
      <c r="K159" s="95"/>
      <c r="L159" s="94"/>
      <c r="M159" s="94"/>
      <c r="N159" s="94"/>
      <c r="O159" s="94"/>
      <c r="P159" s="96"/>
      <c r="Q159" s="97"/>
      <c r="R159" s="98"/>
      <c r="S159" s="98"/>
      <c r="T159" s="97"/>
      <c r="U159" s="99"/>
      <c r="V159" s="100"/>
      <c r="W159" s="100"/>
      <c r="X159" s="100"/>
      <c r="Y159" s="100"/>
      <c r="Z159" s="99"/>
      <c r="AA159" s="100"/>
      <c r="AB159" s="100"/>
      <c r="AC159" s="100"/>
      <c r="AD159" s="100"/>
      <c r="AE159" s="99"/>
      <c r="AF159" s="100"/>
      <c r="AG159" s="100"/>
      <c r="AH159" s="100"/>
      <c r="AI159" s="100"/>
    </row>
    <row r="160" spans="1:35">
      <c r="A160" s="5"/>
      <c r="B160" s="92"/>
      <c r="C160" s="93"/>
      <c r="D160" s="112"/>
      <c r="F160" s="95"/>
      <c r="G160" s="94"/>
      <c r="H160" s="94"/>
      <c r="I160" s="94"/>
      <c r="J160" s="94"/>
      <c r="K160" s="95"/>
      <c r="L160" s="94"/>
      <c r="M160" s="94"/>
      <c r="N160" s="94"/>
      <c r="O160" s="94"/>
      <c r="P160" s="96"/>
      <c r="Q160" s="97"/>
      <c r="R160" s="98"/>
      <c r="S160" s="98"/>
      <c r="T160" s="97"/>
      <c r="U160" s="99"/>
      <c r="V160" s="100"/>
      <c r="W160" s="100"/>
      <c r="X160" s="100"/>
      <c r="Y160" s="100"/>
      <c r="Z160" s="99"/>
      <c r="AA160" s="100"/>
      <c r="AB160" s="100"/>
      <c r="AC160" s="100"/>
      <c r="AD160" s="100"/>
      <c r="AE160" s="99"/>
      <c r="AF160" s="100"/>
      <c r="AG160" s="100"/>
      <c r="AH160" s="100"/>
      <c r="AI160" s="100"/>
    </row>
    <row r="161" spans="1:35">
      <c r="A161" s="5"/>
      <c r="B161" s="92"/>
      <c r="C161" s="93"/>
      <c r="D161" s="112"/>
      <c r="F161" s="95"/>
      <c r="G161" s="94"/>
      <c r="H161" s="94"/>
      <c r="I161" s="94"/>
      <c r="J161" s="94"/>
      <c r="K161" s="95"/>
      <c r="L161" s="94"/>
      <c r="M161" s="94"/>
      <c r="N161" s="94"/>
      <c r="O161" s="94"/>
      <c r="P161" s="96"/>
      <c r="Q161" s="97"/>
      <c r="R161" s="98"/>
      <c r="S161" s="98"/>
      <c r="T161" s="97"/>
      <c r="U161" s="99"/>
      <c r="V161" s="100"/>
      <c r="W161" s="100"/>
      <c r="X161" s="100"/>
      <c r="Y161" s="100"/>
      <c r="Z161" s="99"/>
      <c r="AA161" s="100"/>
      <c r="AB161" s="100"/>
      <c r="AC161" s="100"/>
      <c r="AD161" s="100"/>
      <c r="AE161" s="99"/>
      <c r="AF161" s="100"/>
      <c r="AG161" s="100"/>
      <c r="AH161" s="100"/>
      <c r="AI161" s="100"/>
    </row>
    <row r="162" spans="1:35">
      <c r="A162" s="5"/>
      <c r="B162" s="92"/>
      <c r="C162" s="93"/>
      <c r="D162" s="112"/>
      <c r="F162" s="95"/>
      <c r="G162" s="94"/>
      <c r="H162" s="94"/>
      <c r="I162" s="94"/>
      <c r="J162" s="94"/>
      <c r="K162" s="95"/>
      <c r="L162" s="94"/>
      <c r="M162" s="94"/>
      <c r="N162" s="94"/>
      <c r="O162" s="94"/>
      <c r="P162" s="96"/>
      <c r="Q162" s="97"/>
      <c r="R162" s="98"/>
      <c r="S162" s="98"/>
      <c r="T162" s="97"/>
      <c r="U162" s="99"/>
      <c r="V162" s="100"/>
      <c r="W162" s="100"/>
      <c r="X162" s="100"/>
      <c r="Y162" s="100"/>
      <c r="Z162" s="99"/>
      <c r="AA162" s="100"/>
      <c r="AB162" s="100"/>
      <c r="AC162" s="100"/>
      <c r="AD162" s="100"/>
      <c r="AE162" s="99"/>
      <c r="AF162" s="100"/>
      <c r="AG162" s="100"/>
      <c r="AH162" s="100"/>
      <c r="AI162" s="100"/>
    </row>
    <row r="163" spans="1:35">
      <c r="A163" s="5"/>
      <c r="B163" s="92"/>
      <c r="C163" s="93"/>
      <c r="D163" s="112"/>
      <c r="F163" s="95"/>
      <c r="G163" s="94"/>
      <c r="H163" s="94"/>
      <c r="I163" s="94"/>
      <c r="J163" s="94"/>
      <c r="K163" s="95"/>
      <c r="L163" s="94"/>
      <c r="M163" s="94"/>
      <c r="N163" s="94"/>
      <c r="O163" s="94"/>
      <c r="P163" s="96"/>
      <c r="Q163" s="97"/>
      <c r="R163" s="98"/>
      <c r="S163" s="98"/>
      <c r="T163" s="97"/>
      <c r="U163" s="99"/>
      <c r="V163" s="100"/>
      <c r="W163" s="100"/>
      <c r="X163" s="100"/>
      <c r="Y163" s="100"/>
      <c r="Z163" s="99"/>
      <c r="AA163" s="100"/>
      <c r="AB163" s="100"/>
      <c r="AC163" s="100"/>
      <c r="AD163" s="100"/>
      <c r="AE163" s="99"/>
      <c r="AF163" s="100"/>
      <c r="AG163" s="100"/>
      <c r="AH163" s="100"/>
      <c r="AI163" s="100"/>
    </row>
    <row r="164" spans="1:35">
      <c r="A164" s="5"/>
      <c r="B164" s="92"/>
      <c r="C164" s="93"/>
      <c r="D164" s="112"/>
      <c r="F164" s="95"/>
      <c r="G164" s="94"/>
      <c r="H164" s="94"/>
      <c r="I164" s="94"/>
      <c r="J164" s="94"/>
      <c r="K164" s="95"/>
      <c r="L164" s="94"/>
      <c r="M164" s="94"/>
      <c r="N164" s="94"/>
      <c r="O164" s="94"/>
      <c r="P164" s="96"/>
      <c r="Q164" s="97"/>
      <c r="R164" s="98"/>
      <c r="S164" s="98"/>
      <c r="T164" s="97"/>
      <c r="U164" s="99"/>
      <c r="V164" s="100"/>
      <c r="W164" s="100"/>
      <c r="X164" s="100"/>
      <c r="Y164" s="100"/>
      <c r="Z164" s="99"/>
      <c r="AA164" s="100"/>
      <c r="AB164" s="100"/>
      <c r="AC164" s="100"/>
      <c r="AD164" s="100"/>
      <c r="AE164" s="99"/>
      <c r="AF164" s="100"/>
      <c r="AG164" s="100"/>
      <c r="AH164" s="100"/>
      <c r="AI164" s="100"/>
    </row>
    <row r="165" spans="1:35">
      <c r="A165" s="5"/>
      <c r="B165" s="92"/>
      <c r="C165" s="93"/>
      <c r="D165" s="112"/>
      <c r="F165" s="95"/>
      <c r="G165" s="94"/>
      <c r="H165" s="94"/>
      <c r="I165" s="94"/>
      <c r="J165" s="94"/>
      <c r="K165" s="95"/>
      <c r="L165" s="94"/>
      <c r="M165" s="94"/>
      <c r="N165" s="94"/>
      <c r="O165" s="94"/>
      <c r="P165" s="96"/>
      <c r="Q165" s="97"/>
      <c r="R165" s="98"/>
      <c r="S165" s="98"/>
      <c r="T165" s="97"/>
      <c r="U165" s="99"/>
      <c r="V165" s="100"/>
      <c r="W165" s="100"/>
      <c r="X165" s="100"/>
      <c r="Y165" s="100"/>
      <c r="Z165" s="99"/>
      <c r="AA165" s="100"/>
      <c r="AB165" s="100"/>
      <c r="AC165" s="100"/>
      <c r="AD165" s="100"/>
      <c r="AE165" s="99"/>
      <c r="AF165" s="100"/>
      <c r="AG165" s="100"/>
      <c r="AH165" s="100"/>
      <c r="AI165" s="100"/>
    </row>
    <row r="166" spans="1:35">
      <c r="A166" s="5"/>
      <c r="B166" s="92"/>
      <c r="C166" s="93"/>
      <c r="D166" s="112"/>
      <c r="F166" s="95"/>
      <c r="G166" s="94"/>
      <c r="H166" s="94"/>
      <c r="I166" s="94"/>
      <c r="J166" s="94"/>
      <c r="K166" s="95"/>
      <c r="L166" s="94"/>
      <c r="M166" s="94"/>
      <c r="N166" s="94"/>
      <c r="O166" s="94"/>
      <c r="P166" s="96"/>
      <c r="Q166" s="97"/>
      <c r="R166" s="98"/>
      <c r="S166" s="98"/>
      <c r="T166" s="97"/>
      <c r="U166" s="99"/>
      <c r="V166" s="100"/>
      <c r="W166" s="100"/>
      <c r="X166" s="100"/>
      <c r="Y166" s="100"/>
      <c r="Z166" s="99"/>
      <c r="AA166" s="100"/>
      <c r="AB166" s="100"/>
      <c r="AC166" s="100"/>
      <c r="AD166" s="100"/>
      <c r="AE166" s="99"/>
      <c r="AF166" s="100"/>
      <c r="AG166" s="100"/>
      <c r="AH166" s="100"/>
      <c r="AI166" s="100"/>
    </row>
    <row r="167" spans="1:35">
      <c r="A167" s="5"/>
      <c r="B167" s="92"/>
      <c r="C167" s="93"/>
      <c r="D167" s="112"/>
      <c r="F167" s="95"/>
      <c r="G167" s="94"/>
      <c r="H167" s="94"/>
      <c r="I167" s="94"/>
      <c r="J167" s="94"/>
      <c r="K167" s="95"/>
      <c r="L167" s="94"/>
      <c r="M167" s="94"/>
      <c r="N167" s="94"/>
      <c r="O167" s="94"/>
      <c r="P167" s="96"/>
      <c r="Q167" s="97"/>
      <c r="R167" s="98"/>
      <c r="S167" s="98"/>
      <c r="T167" s="97"/>
      <c r="U167" s="99"/>
      <c r="V167" s="100"/>
      <c r="W167" s="100"/>
      <c r="X167" s="100"/>
      <c r="Y167" s="100"/>
      <c r="Z167" s="99"/>
      <c r="AA167" s="100"/>
      <c r="AB167" s="100"/>
      <c r="AC167" s="100"/>
      <c r="AD167" s="100"/>
      <c r="AE167" s="99"/>
      <c r="AF167" s="100"/>
      <c r="AG167" s="100"/>
      <c r="AH167" s="100"/>
      <c r="AI167" s="100"/>
    </row>
    <row r="168" spans="1:35">
      <c r="A168" s="5"/>
      <c r="B168" s="92"/>
      <c r="C168" s="93"/>
      <c r="D168" s="112"/>
      <c r="F168" s="95"/>
      <c r="G168" s="94"/>
      <c r="H168" s="94"/>
      <c r="I168" s="94"/>
      <c r="J168" s="94"/>
      <c r="K168" s="95"/>
      <c r="L168" s="94"/>
      <c r="M168" s="94"/>
      <c r="N168" s="94"/>
      <c r="O168" s="94"/>
      <c r="P168" s="96"/>
      <c r="Q168" s="97"/>
      <c r="R168" s="98"/>
      <c r="S168" s="98"/>
      <c r="T168" s="97"/>
      <c r="U168" s="99"/>
      <c r="V168" s="100"/>
      <c r="W168" s="100"/>
      <c r="X168" s="100"/>
      <c r="Y168" s="100"/>
      <c r="Z168" s="99"/>
      <c r="AA168" s="100"/>
      <c r="AB168" s="100"/>
      <c r="AC168" s="100"/>
      <c r="AD168" s="100"/>
      <c r="AE168" s="99"/>
      <c r="AF168" s="100"/>
      <c r="AG168" s="100"/>
      <c r="AH168" s="100"/>
      <c r="AI168" s="100"/>
    </row>
    <row r="169" spans="1:35">
      <c r="A169" s="5"/>
      <c r="B169" s="92"/>
      <c r="C169" s="93"/>
      <c r="D169" s="112"/>
      <c r="F169" s="95"/>
      <c r="G169" s="94"/>
      <c r="H169" s="94"/>
      <c r="I169" s="94"/>
      <c r="J169" s="94"/>
      <c r="K169" s="95"/>
      <c r="L169" s="94"/>
      <c r="M169" s="94"/>
      <c r="N169" s="94"/>
      <c r="O169" s="94"/>
      <c r="P169" s="96"/>
      <c r="Q169" s="97"/>
      <c r="R169" s="98"/>
      <c r="S169" s="98"/>
      <c r="T169" s="97"/>
      <c r="U169" s="99"/>
      <c r="V169" s="100"/>
      <c r="W169" s="100"/>
      <c r="X169" s="100"/>
      <c r="Y169" s="100"/>
      <c r="Z169" s="99"/>
      <c r="AA169" s="100"/>
      <c r="AB169" s="100"/>
      <c r="AC169" s="100"/>
      <c r="AD169" s="100"/>
      <c r="AE169" s="99"/>
      <c r="AF169" s="100"/>
      <c r="AG169" s="100"/>
      <c r="AH169" s="100"/>
      <c r="AI169" s="100"/>
    </row>
    <row r="170" spans="1:35">
      <c r="A170" s="5"/>
      <c r="B170" s="92"/>
      <c r="C170" s="93"/>
      <c r="D170" s="112"/>
      <c r="F170" s="95"/>
      <c r="G170" s="94"/>
      <c r="H170" s="94"/>
      <c r="I170" s="94"/>
      <c r="J170" s="94"/>
      <c r="K170" s="95"/>
      <c r="L170" s="94"/>
      <c r="M170" s="94"/>
      <c r="N170" s="94"/>
      <c r="O170" s="94"/>
      <c r="P170" s="96"/>
      <c r="Q170" s="97"/>
      <c r="R170" s="98"/>
      <c r="S170" s="98"/>
      <c r="T170" s="97"/>
      <c r="U170" s="99"/>
      <c r="V170" s="100"/>
      <c r="W170" s="100"/>
      <c r="X170" s="100"/>
      <c r="Y170" s="100"/>
      <c r="Z170" s="99"/>
      <c r="AA170" s="100"/>
      <c r="AB170" s="100"/>
      <c r="AC170" s="100"/>
      <c r="AD170" s="100"/>
      <c r="AE170" s="99"/>
      <c r="AF170" s="100"/>
      <c r="AG170" s="100"/>
      <c r="AH170" s="100"/>
      <c r="AI170" s="100"/>
    </row>
    <row r="171" spans="1:35">
      <c r="A171" s="5"/>
      <c r="B171" s="92"/>
      <c r="C171" s="93"/>
      <c r="D171" s="112"/>
      <c r="F171" s="95"/>
      <c r="G171" s="94"/>
      <c r="H171" s="94"/>
      <c r="I171" s="94"/>
      <c r="J171" s="94"/>
      <c r="K171" s="95"/>
      <c r="L171" s="94"/>
      <c r="M171" s="94"/>
      <c r="N171" s="94"/>
      <c r="O171" s="94"/>
      <c r="P171" s="96"/>
      <c r="Q171" s="97"/>
      <c r="R171" s="98"/>
      <c r="S171" s="98"/>
      <c r="T171" s="97"/>
      <c r="U171" s="99"/>
      <c r="V171" s="100"/>
      <c r="W171" s="100"/>
      <c r="X171" s="100"/>
      <c r="Y171" s="100"/>
      <c r="Z171" s="99"/>
      <c r="AA171" s="100"/>
      <c r="AB171" s="100"/>
      <c r="AC171" s="100"/>
      <c r="AD171" s="100"/>
      <c r="AE171" s="99"/>
      <c r="AF171" s="100"/>
      <c r="AG171" s="100"/>
      <c r="AH171" s="100"/>
      <c r="AI171" s="100"/>
    </row>
    <row r="172" spans="1:35">
      <c r="A172" s="5"/>
      <c r="B172" s="92"/>
      <c r="C172" s="93"/>
      <c r="D172" s="112"/>
      <c r="F172" s="95"/>
      <c r="G172" s="94"/>
      <c r="H172" s="94"/>
      <c r="I172" s="94"/>
      <c r="J172" s="94"/>
      <c r="K172" s="95"/>
      <c r="L172" s="94"/>
      <c r="M172" s="94"/>
      <c r="N172" s="94"/>
      <c r="O172" s="94"/>
      <c r="P172" s="96"/>
      <c r="Q172" s="97"/>
      <c r="R172" s="98"/>
      <c r="S172" s="98"/>
      <c r="T172" s="97"/>
      <c r="U172" s="99"/>
      <c r="V172" s="100"/>
      <c r="W172" s="100"/>
      <c r="X172" s="100"/>
      <c r="Y172" s="100"/>
      <c r="Z172" s="99"/>
      <c r="AA172" s="100"/>
      <c r="AB172" s="100"/>
      <c r="AC172" s="100"/>
      <c r="AD172" s="100"/>
      <c r="AE172" s="99"/>
      <c r="AF172" s="100"/>
      <c r="AG172" s="100"/>
      <c r="AH172" s="100"/>
      <c r="AI172" s="100"/>
    </row>
    <row r="173" spans="1:35">
      <c r="A173" s="5"/>
      <c r="B173" s="92"/>
      <c r="C173" s="93"/>
      <c r="D173" s="112"/>
      <c r="F173" s="95"/>
      <c r="G173" s="94"/>
      <c r="H173" s="94"/>
      <c r="I173" s="94"/>
      <c r="J173" s="94"/>
      <c r="K173" s="95"/>
      <c r="L173" s="94"/>
      <c r="M173" s="94"/>
      <c r="N173" s="94"/>
      <c r="O173" s="94"/>
      <c r="P173" s="96"/>
      <c r="Q173" s="97"/>
      <c r="R173" s="98"/>
      <c r="S173" s="98"/>
      <c r="T173" s="97"/>
      <c r="U173" s="99"/>
      <c r="V173" s="100"/>
      <c r="W173" s="100"/>
      <c r="X173" s="100"/>
      <c r="Y173" s="100"/>
      <c r="Z173" s="99"/>
      <c r="AA173" s="100"/>
      <c r="AB173" s="100"/>
      <c r="AC173" s="100"/>
      <c r="AD173" s="100"/>
      <c r="AE173" s="99"/>
      <c r="AF173" s="100"/>
      <c r="AG173" s="100"/>
      <c r="AH173" s="100"/>
      <c r="AI173" s="100"/>
    </row>
    <row r="174" spans="1:35">
      <c r="A174" s="5"/>
      <c r="B174" s="92"/>
      <c r="C174" s="93"/>
      <c r="D174" s="112"/>
      <c r="F174" s="95"/>
      <c r="G174" s="94"/>
      <c r="H174" s="94"/>
      <c r="I174" s="94"/>
      <c r="J174" s="94"/>
      <c r="K174" s="95"/>
      <c r="L174" s="94"/>
      <c r="M174" s="94"/>
      <c r="N174" s="94"/>
      <c r="O174" s="94"/>
      <c r="P174" s="96"/>
      <c r="Q174" s="97"/>
      <c r="R174" s="98"/>
      <c r="S174" s="98"/>
      <c r="T174" s="97"/>
      <c r="U174" s="99"/>
      <c r="V174" s="100"/>
      <c r="W174" s="100"/>
      <c r="X174" s="100"/>
      <c r="Y174" s="100"/>
      <c r="Z174" s="99"/>
      <c r="AA174" s="100"/>
      <c r="AB174" s="100"/>
      <c r="AC174" s="100"/>
      <c r="AD174" s="100"/>
      <c r="AE174" s="99"/>
      <c r="AF174" s="100"/>
      <c r="AG174" s="100"/>
      <c r="AH174" s="100"/>
      <c r="AI174" s="100"/>
    </row>
    <row r="175" spans="1:35">
      <c r="A175" s="5"/>
      <c r="B175" s="92"/>
      <c r="C175" s="93"/>
      <c r="D175" s="112"/>
      <c r="F175" s="95"/>
      <c r="G175" s="94"/>
      <c r="H175" s="94"/>
      <c r="I175" s="94"/>
      <c r="J175" s="94"/>
      <c r="K175" s="95"/>
      <c r="L175" s="94"/>
      <c r="M175" s="94"/>
      <c r="N175" s="94"/>
      <c r="O175" s="94"/>
      <c r="P175" s="96"/>
      <c r="Q175" s="97"/>
      <c r="R175" s="98"/>
      <c r="S175" s="98"/>
      <c r="T175" s="97"/>
      <c r="U175" s="99"/>
      <c r="V175" s="100"/>
      <c r="W175" s="100"/>
      <c r="X175" s="100"/>
      <c r="Y175" s="100"/>
      <c r="Z175" s="99"/>
      <c r="AA175" s="100"/>
      <c r="AB175" s="100"/>
      <c r="AC175" s="100"/>
      <c r="AD175" s="100"/>
      <c r="AE175" s="99"/>
      <c r="AF175" s="100"/>
      <c r="AG175" s="100"/>
      <c r="AH175" s="100"/>
      <c r="AI175" s="100"/>
    </row>
    <row r="176" spans="1:35">
      <c r="A176" s="5"/>
      <c r="B176" s="92"/>
      <c r="C176" s="93"/>
      <c r="D176" s="112"/>
      <c r="F176" s="95"/>
      <c r="G176" s="94"/>
      <c r="H176" s="94"/>
      <c r="I176" s="94"/>
      <c r="J176" s="94"/>
      <c r="K176" s="95"/>
      <c r="L176" s="94"/>
      <c r="M176" s="94"/>
      <c r="N176" s="94"/>
      <c r="O176" s="94"/>
      <c r="P176" s="96"/>
      <c r="Q176" s="97"/>
      <c r="R176" s="98"/>
      <c r="S176" s="98"/>
      <c r="T176" s="97"/>
      <c r="U176" s="99"/>
      <c r="V176" s="100"/>
      <c r="W176" s="100"/>
      <c r="X176" s="100"/>
      <c r="Y176" s="100"/>
      <c r="Z176" s="99"/>
      <c r="AA176" s="100"/>
      <c r="AB176" s="100"/>
      <c r="AC176" s="100"/>
      <c r="AD176" s="100"/>
      <c r="AE176" s="99"/>
      <c r="AF176" s="100"/>
      <c r="AG176" s="100"/>
      <c r="AH176" s="100"/>
      <c r="AI176" s="100"/>
    </row>
    <row r="177" spans="1:35">
      <c r="A177" s="5"/>
      <c r="B177" s="92"/>
      <c r="C177" s="93"/>
      <c r="D177" s="112"/>
      <c r="F177" s="95"/>
      <c r="G177" s="94"/>
      <c r="H177" s="94"/>
      <c r="I177" s="94"/>
      <c r="J177" s="94"/>
      <c r="K177" s="95"/>
      <c r="L177" s="94"/>
      <c r="M177" s="94"/>
      <c r="N177" s="94"/>
      <c r="O177" s="94"/>
      <c r="P177" s="96"/>
      <c r="Q177" s="97"/>
      <c r="R177" s="98"/>
      <c r="S177" s="98"/>
      <c r="T177" s="97"/>
      <c r="U177" s="99"/>
      <c r="V177" s="100"/>
      <c r="W177" s="100"/>
      <c r="X177" s="100"/>
      <c r="Y177" s="100"/>
      <c r="Z177" s="99"/>
      <c r="AA177" s="100"/>
      <c r="AB177" s="100"/>
      <c r="AC177" s="100"/>
      <c r="AD177" s="100"/>
      <c r="AE177" s="99"/>
      <c r="AF177" s="100"/>
      <c r="AG177" s="100"/>
      <c r="AH177" s="100"/>
      <c r="AI177" s="100"/>
    </row>
    <row r="178" spans="1:35">
      <c r="A178" s="5"/>
      <c r="B178" s="92"/>
      <c r="C178" s="93"/>
      <c r="D178" s="112"/>
      <c r="F178" s="95"/>
      <c r="G178" s="94"/>
      <c r="H178" s="94"/>
      <c r="I178" s="94"/>
      <c r="J178" s="94"/>
      <c r="K178" s="95"/>
      <c r="L178" s="94"/>
      <c r="M178" s="94"/>
      <c r="N178" s="94"/>
      <c r="O178" s="94"/>
      <c r="P178" s="96"/>
      <c r="Q178" s="97"/>
      <c r="R178" s="98"/>
      <c r="S178" s="98"/>
      <c r="T178" s="97"/>
      <c r="U178" s="99"/>
      <c r="V178" s="100"/>
      <c r="W178" s="100"/>
      <c r="X178" s="100"/>
      <c r="Y178" s="100"/>
      <c r="Z178" s="99"/>
      <c r="AA178" s="100"/>
      <c r="AB178" s="100"/>
      <c r="AC178" s="100"/>
      <c r="AD178" s="100"/>
      <c r="AE178" s="99"/>
      <c r="AF178" s="100"/>
      <c r="AG178" s="100"/>
      <c r="AH178" s="100"/>
      <c r="AI178" s="100"/>
    </row>
    <row r="179" spans="1:35">
      <c r="A179" s="5"/>
      <c r="B179" s="92"/>
      <c r="C179" s="93"/>
      <c r="D179" s="112"/>
      <c r="F179" s="95"/>
      <c r="G179" s="94"/>
      <c r="H179" s="94"/>
      <c r="I179" s="94"/>
      <c r="J179" s="94"/>
      <c r="K179" s="95"/>
      <c r="L179" s="94"/>
      <c r="M179" s="94"/>
      <c r="N179" s="94"/>
      <c r="O179" s="94"/>
      <c r="P179" s="96"/>
      <c r="Q179" s="97"/>
      <c r="R179" s="98"/>
      <c r="S179" s="98"/>
      <c r="T179" s="97"/>
      <c r="U179" s="99"/>
      <c r="V179" s="100"/>
      <c r="W179" s="100"/>
      <c r="X179" s="100"/>
      <c r="Y179" s="100"/>
      <c r="Z179" s="99"/>
      <c r="AA179" s="100"/>
      <c r="AB179" s="100"/>
      <c r="AC179" s="100"/>
      <c r="AD179" s="100"/>
      <c r="AE179" s="99"/>
      <c r="AF179" s="100"/>
      <c r="AG179" s="100"/>
      <c r="AH179" s="100"/>
      <c r="AI179" s="100"/>
    </row>
    <row r="180" spans="1:35">
      <c r="A180" s="5"/>
      <c r="B180" s="92"/>
      <c r="C180" s="93"/>
      <c r="D180" s="112"/>
      <c r="F180" s="95"/>
      <c r="G180" s="94"/>
      <c r="H180" s="94"/>
      <c r="I180" s="94"/>
      <c r="J180" s="94"/>
      <c r="K180" s="95"/>
      <c r="L180" s="94"/>
      <c r="M180" s="94"/>
      <c r="N180" s="94"/>
      <c r="O180" s="94"/>
      <c r="P180" s="96"/>
      <c r="Q180" s="97"/>
      <c r="R180" s="98"/>
      <c r="S180" s="98"/>
      <c r="T180" s="97"/>
      <c r="U180" s="99"/>
      <c r="V180" s="100"/>
      <c r="W180" s="100"/>
      <c r="X180" s="100"/>
      <c r="Y180" s="100"/>
      <c r="Z180" s="99"/>
      <c r="AA180" s="100"/>
      <c r="AB180" s="100"/>
      <c r="AC180" s="100"/>
      <c r="AD180" s="100"/>
      <c r="AE180" s="99"/>
      <c r="AF180" s="100"/>
      <c r="AG180" s="100"/>
      <c r="AH180" s="100"/>
      <c r="AI180" s="100"/>
    </row>
    <row r="181" spans="1:35">
      <c r="A181" s="5"/>
      <c r="B181" s="92"/>
      <c r="C181" s="93"/>
      <c r="D181" s="112"/>
      <c r="F181" s="95"/>
      <c r="G181" s="94"/>
      <c r="H181" s="94"/>
      <c r="I181" s="94"/>
      <c r="J181" s="94"/>
      <c r="K181" s="95"/>
      <c r="L181" s="94"/>
      <c r="M181" s="94"/>
      <c r="N181" s="94"/>
      <c r="O181" s="94"/>
      <c r="P181" s="96"/>
      <c r="Q181" s="97"/>
      <c r="R181" s="98"/>
      <c r="S181" s="98"/>
      <c r="T181" s="97"/>
      <c r="U181" s="99"/>
      <c r="V181" s="100"/>
      <c r="W181" s="100"/>
      <c r="X181" s="100"/>
      <c r="Y181" s="100"/>
      <c r="Z181" s="99"/>
      <c r="AA181" s="100"/>
      <c r="AB181" s="100"/>
      <c r="AC181" s="100"/>
      <c r="AD181" s="100"/>
      <c r="AE181" s="99"/>
      <c r="AF181" s="100"/>
      <c r="AG181" s="100"/>
      <c r="AH181" s="100"/>
      <c r="AI181" s="100"/>
    </row>
    <row r="182" spans="1:35">
      <c r="A182" s="5"/>
      <c r="B182" s="92"/>
      <c r="C182" s="93"/>
      <c r="D182" s="112"/>
      <c r="F182" s="95"/>
      <c r="G182" s="94"/>
      <c r="H182" s="94"/>
      <c r="I182" s="94"/>
      <c r="J182" s="94"/>
      <c r="K182" s="95"/>
      <c r="L182" s="94"/>
      <c r="M182" s="94"/>
      <c r="N182" s="94"/>
      <c r="O182" s="94"/>
      <c r="P182" s="96"/>
      <c r="Q182" s="97"/>
      <c r="R182" s="98"/>
      <c r="S182" s="98"/>
      <c r="T182" s="97"/>
      <c r="U182" s="99"/>
      <c r="V182" s="100"/>
      <c r="W182" s="100"/>
      <c r="X182" s="100"/>
      <c r="Y182" s="100"/>
      <c r="Z182" s="99"/>
      <c r="AA182" s="100"/>
      <c r="AB182" s="100"/>
      <c r="AC182" s="100"/>
      <c r="AD182" s="100"/>
      <c r="AE182" s="99"/>
      <c r="AF182" s="100"/>
      <c r="AG182" s="100"/>
      <c r="AH182" s="100"/>
      <c r="AI182" s="100"/>
    </row>
    <row r="183" spans="1:35">
      <c r="A183" s="5"/>
      <c r="B183" s="92"/>
      <c r="C183" s="93"/>
      <c r="D183" s="112"/>
      <c r="F183" s="95"/>
      <c r="G183" s="94"/>
      <c r="H183" s="94"/>
      <c r="I183" s="94"/>
      <c r="J183" s="94"/>
      <c r="K183" s="95"/>
      <c r="L183" s="94"/>
      <c r="M183" s="94"/>
      <c r="N183" s="94"/>
      <c r="O183" s="94"/>
      <c r="P183" s="96"/>
      <c r="Q183" s="97"/>
      <c r="R183" s="98"/>
      <c r="S183" s="98"/>
      <c r="T183" s="97"/>
      <c r="U183" s="99"/>
      <c r="V183" s="100"/>
      <c r="W183" s="100"/>
      <c r="X183" s="100"/>
      <c r="Y183" s="100"/>
      <c r="Z183" s="99"/>
      <c r="AA183" s="100"/>
      <c r="AB183" s="100"/>
      <c r="AC183" s="100"/>
      <c r="AD183" s="100"/>
      <c r="AE183" s="99"/>
      <c r="AF183" s="100"/>
      <c r="AG183" s="100"/>
      <c r="AH183" s="100"/>
      <c r="AI183" s="100"/>
    </row>
    <row r="184" spans="1:35">
      <c r="A184" s="5"/>
      <c r="B184" s="92"/>
      <c r="C184" s="93"/>
      <c r="D184" s="112"/>
      <c r="F184" s="95"/>
      <c r="G184" s="94"/>
      <c r="H184" s="94"/>
      <c r="I184" s="94"/>
      <c r="J184" s="94"/>
      <c r="K184" s="95"/>
      <c r="L184" s="94"/>
      <c r="M184" s="94"/>
      <c r="N184" s="94"/>
      <c r="O184" s="94"/>
      <c r="P184" s="96"/>
      <c r="Q184" s="97"/>
      <c r="R184" s="98"/>
      <c r="S184" s="98"/>
      <c r="T184" s="97"/>
      <c r="U184" s="99"/>
      <c r="V184" s="100"/>
      <c r="W184" s="100"/>
      <c r="X184" s="100"/>
      <c r="Y184" s="100"/>
      <c r="Z184" s="99"/>
      <c r="AA184" s="100"/>
      <c r="AB184" s="100"/>
      <c r="AC184" s="100"/>
      <c r="AD184" s="100"/>
      <c r="AE184" s="99"/>
      <c r="AF184" s="100"/>
      <c r="AG184" s="100"/>
      <c r="AH184" s="100"/>
      <c r="AI184" s="100"/>
    </row>
    <row r="185" spans="1:35">
      <c r="A185" s="5"/>
      <c r="B185" s="92"/>
      <c r="C185" s="93"/>
      <c r="D185" s="112"/>
      <c r="F185" s="95"/>
      <c r="G185" s="94"/>
      <c r="H185" s="94"/>
      <c r="I185" s="94"/>
      <c r="J185" s="94"/>
      <c r="K185" s="95"/>
      <c r="L185" s="94"/>
      <c r="M185" s="94"/>
      <c r="N185" s="94"/>
      <c r="O185" s="94"/>
      <c r="P185" s="96"/>
      <c r="Q185" s="97"/>
      <c r="R185" s="98"/>
      <c r="S185" s="98"/>
      <c r="T185" s="97"/>
      <c r="U185" s="99"/>
      <c r="V185" s="100"/>
      <c r="W185" s="100"/>
      <c r="X185" s="100"/>
      <c r="Y185" s="100"/>
      <c r="Z185" s="99"/>
      <c r="AA185" s="100"/>
      <c r="AB185" s="100"/>
      <c r="AC185" s="100"/>
      <c r="AD185" s="100"/>
      <c r="AE185" s="99"/>
      <c r="AF185" s="100"/>
      <c r="AG185" s="100"/>
      <c r="AH185" s="100"/>
      <c r="AI185" s="100"/>
    </row>
    <row r="186" spans="1:35">
      <c r="A186" s="5"/>
      <c r="B186" s="92"/>
      <c r="C186" s="93"/>
      <c r="D186" s="112"/>
      <c r="F186" s="95"/>
      <c r="G186" s="94"/>
      <c r="H186" s="94"/>
      <c r="I186" s="94"/>
      <c r="J186" s="94"/>
      <c r="K186" s="95"/>
      <c r="L186" s="94"/>
      <c r="M186" s="94"/>
      <c r="N186" s="94"/>
      <c r="O186" s="94"/>
      <c r="P186" s="96"/>
      <c r="Q186" s="97"/>
      <c r="R186" s="98"/>
      <c r="S186" s="98"/>
      <c r="T186" s="97"/>
      <c r="U186" s="99"/>
      <c r="V186" s="100"/>
      <c r="W186" s="100"/>
      <c r="X186" s="100"/>
      <c r="Y186" s="100"/>
      <c r="Z186" s="99"/>
      <c r="AA186" s="100"/>
      <c r="AB186" s="100"/>
      <c r="AC186" s="100"/>
      <c r="AD186" s="100"/>
      <c r="AE186" s="99"/>
      <c r="AF186" s="100"/>
      <c r="AG186" s="100"/>
      <c r="AH186" s="100"/>
      <c r="AI186" s="100"/>
    </row>
    <row r="187" spans="1:35">
      <c r="A187" s="5"/>
      <c r="B187" s="92"/>
      <c r="C187" s="93"/>
      <c r="D187" s="112"/>
      <c r="F187" s="95"/>
      <c r="G187" s="94"/>
      <c r="H187" s="94"/>
      <c r="I187" s="94"/>
      <c r="J187" s="94"/>
      <c r="K187" s="95"/>
      <c r="L187" s="94"/>
      <c r="M187" s="94"/>
      <c r="N187" s="94"/>
      <c r="O187" s="94"/>
      <c r="P187" s="96"/>
      <c r="Q187" s="97"/>
      <c r="R187" s="98"/>
      <c r="S187" s="98"/>
      <c r="T187" s="97"/>
      <c r="U187" s="99"/>
      <c r="V187" s="100"/>
      <c r="W187" s="100"/>
      <c r="X187" s="100"/>
      <c r="Y187" s="100"/>
      <c r="Z187" s="99"/>
      <c r="AA187" s="100"/>
      <c r="AB187" s="100"/>
      <c r="AC187" s="100"/>
      <c r="AD187" s="100"/>
      <c r="AE187" s="99"/>
      <c r="AF187" s="100"/>
      <c r="AG187" s="100"/>
      <c r="AH187" s="100"/>
      <c r="AI187" s="100"/>
    </row>
    <row r="188" spans="1:35">
      <c r="A188" s="5"/>
      <c r="B188" s="92"/>
      <c r="C188" s="93"/>
      <c r="D188" s="112"/>
      <c r="F188" s="95"/>
      <c r="G188" s="94"/>
      <c r="H188" s="94"/>
      <c r="I188" s="94"/>
      <c r="J188" s="94"/>
      <c r="K188" s="95"/>
      <c r="L188" s="94"/>
      <c r="M188" s="94"/>
      <c r="N188" s="94"/>
      <c r="O188" s="94"/>
      <c r="P188" s="96"/>
      <c r="Q188" s="97"/>
      <c r="R188" s="98"/>
      <c r="S188" s="98"/>
      <c r="T188" s="97"/>
      <c r="U188" s="99"/>
      <c r="V188" s="100"/>
      <c r="W188" s="100"/>
      <c r="X188" s="100"/>
      <c r="Y188" s="100"/>
      <c r="Z188" s="99"/>
      <c r="AA188" s="100"/>
      <c r="AB188" s="100"/>
      <c r="AC188" s="100"/>
      <c r="AD188" s="100"/>
      <c r="AE188" s="99"/>
      <c r="AF188" s="100"/>
      <c r="AG188" s="100"/>
      <c r="AH188" s="100"/>
      <c r="AI188" s="100"/>
    </row>
    <row r="189" spans="1:35">
      <c r="A189" s="5"/>
      <c r="B189" s="92"/>
      <c r="C189" s="93"/>
      <c r="D189" s="112"/>
      <c r="F189" s="95"/>
      <c r="G189" s="94"/>
      <c r="H189" s="94"/>
      <c r="I189" s="94"/>
      <c r="J189" s="94"/>
      <c r="K189" s="95"/>
      <c r="L189" s="94"/>
      <c r="M189" s="94"/>
      <c r="N189" s="94"/>
      <c r="O189" s="94"/>
      <c r="P189" s="96"/>
      <c r="Q189" s="97"/>
      <c r="R189" s="98"/>
      <c r="S189" s="98"/>
      <c r="T189" s="97"/>
      <c r="U189" s="99"/>
      <c r="V189" s="100"/>
      <c r="W189" s="100"/>
      <c r="X189" s="100"/>
      <c r="Y189" s="100"/>
      <c r="Z189" s="99"/>
      <c r="AA189" s="100"/>
      <c r="AB189" s="100"/>
      <c r="AC189" s="100"/>
      <c r="AD189" s="100"/>
      <c r="AE189" s="99"/>
      <c r="AF189" s="100"/>
      <c r="AG189" s="100"/>
      <c r="AH189" s="100"/>
      <c r="AI189" s="100"/>
    </row>
    <row r="190" spans="1:35">
      <c r="A190" s="5"/>
      <c r="B190" s="92"/>
      <c r="C190" s="93"/>
      <c r="D190" s="112"/>
      <c r="F190" s="95"/>
      <c r="G190" s="94"/>
      <c r="H190" s="94"/>
      <c r="I190" s="94"/>
      <c r="J190" s="94"/>
      <c r="K190" s="95"/>
      <c r="L190" s="94"/>
      <c r="M190" s="94"/>
      <c r="N190" s="94"/>
      <c r="O190" s="94"/>
      <c r="P190" s="96"/>
      <c r="Q190" s="97"/>
      <c r="R190" s="98"/>
      <c r="S190" s="98"/>
      <c r="T190" s="97"/>
      <c r="U190" s="99"/>
      <c r="V190" s="100"/>
      <c r="W190" s="100"/>
      <c r="X190" s="100"/>
      <c r="Y190" s="100"/>
      <c r="Z190" s="99"/>
      <c r="AA190" s="100"/>
      <c r="AB190" s="100"/>
      <c r="AC190" s="100"/>
      <c r="AD190" s="100"/>
      <c r="AE190" s="99"/>
      <c r="AF190" s="100"/>
      <c r="AG190" s="100"/>
      <c r="AH190" s="100"/>
      <c r="AI190" s="100"/>
    </row>
    <row r="191" spans="1:35">
      <c r="A191" s="5"/>
      <c r="B191" s="92"/>
      <c r="C191" s="93"/>
      <c r="D191" s="112"/>
      <c r="F191" s="95"/>
      <c r="G191" s="94"/>
      <c r="H191" s="94"/>
      <c r="I191" s="94"/>
      <c r="J191" s="94"/>
      <c r="K191" s="95"/>
      <c r="L191" s="94"/>
      <c r="M191" s="94"/>
      <c r="N191" s="94"/>
      <c r="O191" s="94"/>
      <c r="P191" s="96"/>
      <c r="Q191" s="97"/>
      <c r="R191" s="98"/>
      <c r="S191" s="98"/>
      <c r="T191" s="97"/>
      <c r="U191" s="99"/>
      <c r="V191" s="100"/>
      <c r="W191" s="100"/>
      <c r="X191" s="100"/>
      <c r="Y191" s="100"/>
      <c r="Z191" s="99"/>
      <c r="AA191" s="100"/>
      <c r="AB191" s="100"/>
      <c r="AC191" s="100"/>
      <c r="AD191" s="100"/>
      <c r="AE191" s="99"/>
      <c r="AF191" s="100"/>
      <c r="AG191" s="100"/>
      <c r="AH191" s="100"/>
      <c r="AI191" s="100"/>
    </row>
    <row r="192" spans="1:35">
      <c r="A192" s="5"/>
      <c r="B192" s="92"/>
      <c r="C192" s="93"/>
      <c r="D192" s="112"/>
      <c r="F192" s="95"/>
      <c r="G192" s="94"/>
      <c r="H192" s="94"/>
      <c r="I192" s="94"/>
      <c r="J192" s="94"/>
      <c r="K192" s="95"/>
      <c r="L192" s="94"/>
      <c r="M192" s="94"/>
      <c r="N192" s="94"/>
      <c r="O192" s="94"/>
      <c r="P192" s="96"/>
      <c r="Q192" s="97"/>
      <c r="R192" s="98"/>
      <c r="S192" s="98"/>
      <c r="T192" s="97"/>
      <c r="U192" s="99"/>
      <c r="V192" s="100"/>
      <c r="W192" s="100"/>
      <c r="X192" s="100"/>
      <c r="Y192" s="100"/>
      <c r="Z192" s="99"/>
      <c r="AA192" s="100"/>
      <c r="AB192" s="100"/>
      <c r="AC192" s="100"/>
      <c r="AD192" s="100"/>
      <c r="AE192" s="99"/>
      <c r="AF192" s="100"/>
      <c r="AG192" s="100"/>
      <c r="AH192" s="100"/>
      <c r="AI192" s="100"/>
    </row>
    <row r="193" spans="1:35">
      <c r="A193" s="5"/>
      <c r="B193" s="92"/>
      <c r="C193" s="93"/>
      <c r="D193" s="112"/>
      <c r="F193" s="95"/>
      <c r="G193" s="94"/>
      <c r="H193" s="94"/>
      <c r="I193" s="94"/>
      <c r="J193" s="94"/>
      <c r="K193" s="95"/>
      <c r="L193" s="94"/>
      <c r="M193" s="94"/>
      <c r="N193" s="94"/>
      <c r="O193" s="94"/>
      <c r="P193" s="96"/>
      <c r="Q193" s="97"/>
      <c r="R193" s="98"/>
      <c r="S193" s="98"/>
      <c r="T193" s="97"/>
      <c r="U193" s="99"/>
      <c r="V193" s="100"/>
      <c r="W193" s="100"/>
      <c r="X193" s="100"/>
      <c r="Y193" s="100"/>
      <c r="Z193" s="99"/>
      <c r="AA193" s="100"/>
      <c r="AB193" s="100"/>
      <c r="AC193" s="100"/>
      <c r="AD193" s="100"/>
      <c r="AE193" s="99"/>
      <c r="AF193" s="100"/>
      <c r="AG193" s="100"/>
      <c r="AH193" s="100"/>
      <c r="AI193" s="100"/>
    </row>
    <row r="194" spans="1:35">
      <c r="A194" s="5"/>
      <c r="B194" s="92"/>
      <c r="C194" s="93"/>
      <c r="D194" s="112"/>
      <c r="F194" s="95"/>
      <c r="G194" s="94"/>
      <c r="H194" s="94"/>
      <c r="I194" s="94"/>
      <c r="J194" s="94"/>
      <c r="K194" s="95"/>
      <c r="L194" s="94"/>
      <c r="M194" s="94"/>
      <c r="N194" s="94"/>
      <c r="O194" s="94"/>
      <c r="P194" s="96"/>
      <c r="Q194" s="97"/>
      <c r="R194" s="98"/>
      <c r="S194" s="98"/>
      <c r="T194" s="97"/>
      <c r="U194" s="99"/>
      <c r="V194" s="100"/>
      <c r="W194" s="100"/>
      <c r="X194" s="100"/>
      <c r="Y194" s="100"/>
      <c r="Z194" s="99"/>
      <c r="AA194" s="100"/>
      <c r="AB194" s="100"/>
      <c r="AC194" s="100"/>
      <c r="AD194" s="100"/>
      <c r="AE194" s="99"/>
      <c r="AF194" s="100"/>
      <c r="AG194" s="100"/>
      <c r="AH194" s="100"/>
      <c r="AI194" s="100"/>
    </row>
    <row r="195" spans="1:35">
      <c r="A195" s="5"/>
      <c r="B195" s="92"/>
      <c r="C195" s="93"/>
      <c r="D195" s="112"/>
      <c r="F195" s="95"/>
      <c r="G195" s="94"/>
      <c r="H195" s="94"/>
      <c r="I195" s="94"/>
      <c r="J195" s="94"/>
      <c r="K195" s="95"/>
      <c r="L195" s="94"/>
      <c r="M195" s="94"/>
      <c r="N195" s="94"/>
      <c r="O195" s="94"/>
      <c r="P195" s="96"/>
      <c r="Q195" s="97"/>
      <c r="R195" s="98"/>
      <c r="S195" s="98"/>
      <c r="T195" s="97"/>
      <c r="U195" s="99"/>
      <c r="V195" s="100"/>
      <c r="W195" s="100"/>
      <c r="X195" s="100"/>
      <c r="Y195" s="100"/>
      <c r="Z195" s="99"/>
      <c r="AA195" s="100"/>
      <c r="AB195" s="100"/>
      <c r="AC195" s="100"/>
      <c r="AD195" s="100"/>
      <c r="AE195" s="99"/>
      <c r="AF195" s="100"/>
      <c r="AG195" s="100"/>
      <c r="AH195" s="100"/>
      <c r="AI195" s="100"/>
    </row>
    <row r="196" spans="1:35">
      <c r="A196" s="5"/>
      <c r="B196" s="92"/>
      <c r="C196" s="93"/>
      <c r="D196" s="112"/>
      <c r="F196" s="95"/>
      <c r="G196" s="94"/>
      <c r="H196" s="94"/>
      <c r="I196" s="94"/>
      <c r="J196" s="94"/>
      <c r="K196" s="95"/>
      <c r="L196" s="94"/>
      <c r="M196" s="94"/>
      <c r="N196" s="94"/>
      <c r="O196" s="94"/>
      <c r="P196" s="96"/>
      <c r="Q196" s="97"/>
      <c r="R196" s="98"/>
      <c r="S196" s="98"/>
      <c r="T196" s="97"/>
      <c r="U196" s="99"/>
      <c r="V196" s="100"/>
      <c r="W196" s="100"/>
      <c r="X196" s="100"/>
      <c r="Y196" s="100"/>
      <c r="Z196" s="99"/>
      <c r="AA196" s="100"/>
      <c r="AB196" s="100"/>
      <c r="AC196" s="100"/>
      <c r="AD196" s="100"/>
      <c r="AE196" s="99"/>
      <c r="AF196" s="100"/>
      <c r="AG196" s="100"/>
      <c r="AH196" s="100"/>
      <c r="AI196" s="100"/>
    </row>
    <row r="197" spans="1:35">
      <c r="A197" s="5"/>
      <c r="B197" s="92"/>
      <c r="C197" s="93"/>
      <c r="D197" s="112"/>
      <c r="F197" s="95"/>
      <c r="G197" s="94"/>
      <c r="H197" s="94"/>
      <c r="I197" s="94"/>
      <c r="J197" s="94"/>
      <c r="K197" s="95"/>
      <c r="L197" s="94"/>
      <c r="M197" s="94"/>
      <c r="N197" s="94"/>
      <c r="O197" s="94"/>
      <c r="P197" s="96"/>
      <c r="Q197" s="97"/>
      <c r="R197" s="98"/>
      <c r="S197" s="98"/>
      <c r="T197" s="97"/>
      <c r="U197" s="99"/>
      <c r="V197" s="100"/>
      <c r="W197" s="100"/>
      <c r="X197" s="100"/>
      <c r="Y197" s="100"/>
      <c r="Z197" s="99"/>
      <c r="AA197" s="100"/>
      <c r="AB197" s="100"/>
      <c r="AC197" s="100"/>
      <c r="AD197" s="100"/>
      <c r="AE197" s="99"/>
      <c r="AF197" s="100"/>
      <c r="AG197" s="100"/>
      <c r="AH197" s="100"/>
      <c r="AI197" s="100"/>
    </row>
    <row r="198" spans="1:35">
      <c r="A198" s="5"/>
      <c r="B198" s="92"/>
      <c r="C198" s="93"/>
      <c r="D198" s="112"/>
      <c r="F198" s="95"/>
      <c r="G198" s="94"/>
      <c r="H198" s="94"/>
      <c r="I198" s="94"/>
      <c r="J198" s="94"/>
      <c r="K198" s="95"/>
      <c r="L198" s="94"/>
      <c r="M198" s="94"/>
      <c r="N198" s="94"/>
      <c r="O198" s="94"/>
      <c r="P198" s="96"/>
      <c r="Q198" s="97"/>
      <c r="R198" s="98"/>
      <c r="S198" s="98"/>
      <c r="T198" s="97"/>
      <c r="U198" s="99"/>
      <c r="V198" s="100"/>
      <c r="W198" s="100"/>
      <c r="X198" s="100"/>
      <c r="Y198" s="100"/>
      <c r="Z198" s="99"/>
      <c r="AA198" s="100"/>
      <c r="AB198" s="100"/>
      <c r="AC198" s="100"/>
      <c r="AD198" s="100"/>
      <c r="AE198" s="99"/>
      <c r="AF198" s="100"/>
      <c r="AG198" s="100"/>
      <c r="AH198" s="100"/>
      <c r="AI198" s="100"/>
    </row>
    <row r="199" spans="1:35">
      <c r="A199" s="5"/>
      <c r="B199" s="92"/>
      <c r="C199" s="93"/>
      <c r="D199" s="112"/>
      <c r="F199" s="95"/>
      <c r="G199" s="94"/>
      <c r="H199" s="94"/>
      <c r="I199" s="94"/>
      <c r="J199" s="94"/>
      <c r="K199" s="95"/>
      <c r="L199" s="94"/>
      <c r="M199" s="94"/>
      <c r="N199" s="94"/>
      <c r="O199" s="94"/>
      <c r="P199" s="96"/>
      <c r="Q199" s="97"/>
      <c r="R199" s="98"/>
      <c r="S199" s="98"/>
      <c r="T199" s="97"/>
      <c r="U199" s="99"/>
      <c r="V199" s="100"/>
      <c r="W199" s="100"/>
      <c r="X199" s="100"/>
      <c r="Y199" s="100"/>
      <c r="Z199" s="99"/>
      <c r="AA199" s="100"/>
      <c r="AB199" s="100"/>
      <c r="AC199" s="100"/>
      <c r="AD199" s="100"/>
      <c r="AE199" s="99"/>
      <c r="AF199" s="100"/>
      <c r="AG199" s="100"/>
      <c r="AH199" s="100"/>
      <c r="AI199" s="100"/>
    </row>
    <row r="200" spans="1:35">
      <c r="A200" s="5"/>
      <c r="B200" s="92"/>
      <c r="C200" s="93"/>
      <c r="D200" s="112"/>
      <c r="F200" s="95"/>
      <c r="G200" s="94"/>
      <c r="H200" s="94"/>
      <c r="I200" s="94"/>
      <c r="J200" s="94"/>
      <c r="K200" s="95"/>
      <c r="L200" s="94"/>
      <c r="M200" s="94"/>
      <c r="N200" s="94"/>
      <c r="O200" s="94"/>
      <c r="P200" s="96"/>
      <c r="Q200" s="97"/>
      <c r="R200" s="98"/>
      <c r="S200" s="98"/>
      <c r="T200" s="97"/>
      <c r="U200" s="99"/>
      <c r="V200" s="100"/>
      <c r="W200" s="100"/>
      <c r="X200" s="100"/>
      <c r="Y200" s="100"/>
      <c r="Z200" s="99"/>
      <c r="AA200" s="100"/>
      <c r="AB200" s="100"/>
      <c r="AC200" s="100"/>
      <c r="AD200" s="100"/>
      <c r="AE200" s="99"/>
      <c r="AF200" s="100"/>
      <c r="AG200" s="100"/>
      <c r="AH200" s="100"/>
      <c r="AI200" s="100"/>
    </row>
    <row r="201" spans="1:35">
      <c r="A201" s="5"/>
      <c r="B201" s="92"/>
      <c r="C201" s="93"/>
      <c r="D201" s="112"/>
      <c r="F201" s="95"/>
      <c r="G201" s="94"/>
      <c r="H201" s="94"/>
      <c r="I201" s="94"/>
      <c r="J201" s="94"/>
      <c r="K201" s="95"/>
      <c r="L201" s="94"/>
      <c r="M201" s="94"/>
      <c r="N201" s="94"/>
      <c r="O201" s="94"/>
      <c r="P201" s="96"/>
      <c r="Q201" s="97"/>
      <c r="R201" s="98"/>
      <c r="S201" s="98"/>
      <c r="T201" s="97"/>
      <c r="U201" s="99"/>
      <c r="V201" s="100"/>
      <c r="W201" s="100"/>
      <c r="X201" s="100"/>
      <c r="Y201" s="100"/>
      <c r="Z201" s="99"/>
      <c r="AA201" s="100"/>
      <c r="AB201" s="100"/>
      <c r="AC201" s="100"/>
      <c r="AD201" s="100"/>
      <c r="AE201" s="99"/>
      <c r="AF201" s="100"/>
      <c r="AG201" s="100"/>
      <c r="AH201" s="100"/>
      <c r="AI201" s="100"/>
    </row>
    <row r="202" spans="1:35">
      <c r="A202" s="5"/>
      <c r="B202" s="92"/>
      <c r="C202" s="93"/>
      <c r="D202" s="112"/>
      <c r="F202" s="95"/>
      <c r="G202" s="94"/>
      <c r="H202" s="94"/>
      <c r="I202" s="94"/>
      <c r="J202" s="94"/>
      <c r="K202" s="95"/>
      <c r="L202" s="94"/>
      <c r="M202" s="94"/>
      <c r="N202" s="94"/>
      <c r="O202" s="94"/>
      <c r="P202" s="96"/>
      <c r="Q202" s="97"/>
      <c r="R202" s="98"/>
      <c r="S202" s="98"/>
      <c r="T202" s="97"/>
      <c r="U202" s="99"/>
      <c r="V202" s="100"/>
      <c r="W202" s="100"/>
      <c r="X202" s="100"/>
      <c r="Y202" s="100"/>
      <c r="Z202" s="99"/>
      <c r="AA202" s="100"/>
      <c r="AB202" s="100"/>
      <c r="AC202" s="100"/>
      <c r="AD202" s="100"/>
      <c r="AE202" s="99"/>
      <c r="AF202" s="100"/>
      <c r="AG202" s="100"/>
      <c r="AH202" s="100"/>
      <c r="AI202" s="100"/>
    </row>
    <row r="203" spans="1:35">
      <c r="A203" s="5"/>
      <c r="B203" s="92"/>
      <c r="C203" s="93"/>
      <c r="D203" s="112"/>
      <c r="F203" s="95"/>
      <c r="G203" s="94"/>
      <c r="H203" s="94"/>
      <c r="I203" s="94"/>
      <c r="J203" s="94"/>
      <c r="K203" s="95"/>
      <c r="L203" s="94"/>
      <c r="M203" s="94"/>
      <c r="N203" s="94"/>
      <c r="O203" s="94"/>
      <c r="P203" s="96"/>
      <c r="Q203" s="97"/>
      <c r="R203" s="98"/>
      <c r="S203" s="98"/>
      <c r="T203" s="97"/>
      <c r="U203" s="99"/>
      <c r="V203" s="100"/>
      <c r="W203" s="100"/>
      <c r="X203" s="100"/>
      <c r="Y203" s="100"/>
      <c r="Z203" s="99"/>
      <c r="AA203" s="100"/>
      <c r="AB203" s="100"/>
      <c r="AC203" s="100"/>
      <c r="AD203" s="100"/>
      <c r="AE203" s="99"/>
      <c r="AF203" s="100"/>
      <c r="AG203" s="100"/>
      <c r="AH203" s="100"/>
      <c r="AI203" s="100"/>
    </row>
    <row r="204" spans="1:35">
      <c r="A204" s="5"/>
      <c r="B204" s="92"/>
      <c r="C204" s="93"/>
      <c r="D204" s="112"/>
      <c r="F204" s="95"/>
      <c r="G204" s="94"/>
      <c r="H204" s="94"/>
      <c r="I204" s="94"/>
      <c r="J204" s="94"/>
      <c r="K204" s="95"/>
      <c r="L204" s="94"/>
      <c r="M204" s="94"/>
      <c r="N204" s="94"/>
      <c r="O204" s="94"/>
      <c r="P204" s="96"/>
      <c r="Q204" s="97"/>
      <c r="R204" s="98"/>
      <c r="S204" s="98"/>
      <c r="T204" s="97"/>
      <c r="U204" s="99"/>
      <c r="V204" s="100"/>
      <c r="W204" s="100"/>
      <c r="X204" s="100"/>
      <c r="Y204" s="100"/>
      <c r="Z204" s="99"/>
      <c r="AA204" s="100"/>
      <c r="AB204" s="100"/>
      <c r="AC204" s="100"/>
      <c r="AD204" s="100"/>
      <c r="AE204" s="99"/>
      <c r="AF204" s="100"/>
      <c r="AG204" s="100"/>
      <c r="AH204" s="100"/>
      <c r="AI204" s="100"/>
    </row>
    <row r="205" spans="1:35">
      <c r="A205" s="5"/>
      <c r="B205" s="92"/>
      <c r="C205" s="93"/>
      <c r="D205" s="112"/>
      <c r="F205" s="95"/>
      <c r="G205" s="94"/>
      <c r="H205" s="94"/>
      <c r="I205" s="94"/>
      <c r="J205" s="94"/>
      <c r="K205" s="95"/>
      <c r="L205" s="94"/>
      <c r="M205" s="94"/>
      <c r="N205" s="94"/>
      <c r="O205" s="94"/>
      <c r="P205" s="96"/>
      <c r="Q205" s="97"/>
      <c r="R205" s="98"/>
      <c r="S205" s="98"/>
      <c r="T205" s="97"/>
      <c r="U205" s="99"/>
      <c r="V205" s="100"/>
      <c r="W205" s="100"/>
      <c r="X205" s="100"/>
      <c r="Y205" s="100"/>
      <c r="Z205" s="99"/>
      <c r="AA205" s="100"/>
      <c r="AB205" s="100"/>
      <c r="AC205" s="100"/>
      <c r="AD205" s="100"/>
      <c r="AE205" s="99"/>
      <c r="AF205" s="100"/>
      <c r="AG205" s="100"/>
      <c r="AH205" s="100"/>
      <c r="AI205" s="100"/>
    </row>
    <row r="206" spans="1:35">
      <c r="A206" s="5"/>
      <c r="B206" s="92"/>
      <c r="C206" s="93"/>
      <c r="D206" s="112"/>
      <c r="F206" s="95"/>
      <c r="G206" s="94"/>
      <c r="H206" s="94"/>
      <c r="I206" s="94"/>
      <c r="J206" s="94"/>
      <c r="K206" s="95"/>
      <c r="L206" s="94"/>
      <c r="M206" s="94"/>
      <c r="N206" s="94"/>
      <c r="O206" s="94"/>
      <c r="P206" s="96"/>
      <c r="Q206" s="97"/>
      <c r="R206" s="98"/>
      <c r="S206" s="98"/>
      <c r="T206" s="97"/>
      <c r="U206" s="99"/>
      <c r="V206" s="100"/>
      <c r="W206" s="100"/>
      <c r="X206" s="100"/>
      <c r="Y206" s="100"/>
      <c r="Z206" s="99"/>
      <c r="AA206" s="100"/>
      <c r="AB206" s="100"/>
      <c r="AC206" s="100"/>
      <c r="AD206" s="100"/>
      <c r="AE206" s="99"/>
      <c r="AF206" s="100"/>
      <c r="AG206" s="100"/>
      <c r="AH206" s="100"/>
      <c r="AI206" s="100"/>
    </row>
    <row r="207" spans="1:35">
      <c r="A207" s="5"/>
      <c r="B207" s="92"/>
      <c r="C207" s="93"/>
      <c r="D207" s="112"/>
      <c r="F207" s="95"/>
      <c r="G207" s="94"/>
      <c r="H207" s="94"/>
      <c r="I207" s="94"/>
      <c r="J207" s="94"/>
      <c r="K207" s="95"/>
      <c r="L207" s="94"/>
      <c r="M207" s="94"/>
      <c r="N207" s="94"/>
      <c r="O207" s="94"/>
      <c r="P207" s="96"/>
      <c r="Q207" s="97"/>
      <c r="R207" s="98"/>
      <c r="S207" s="98"/>
      <c r="T207" s="97"/>
      <c r="U207" s="99"/>
      <c r="V207" s="100"/>
      <c r="W207" s="100"/>
      <c r="X207" s="100"/>
      <c r="Y207" s="100"/>
      <c r="Z207" s="99"/>
      <c r="AA207" s="100"/>
      <c r="AB207" s="100"/>
      <c r="AC207" s="100"/>
      <c r="AD207" s="100"/>
      <c r="AE207" s="99"/>
      <c r="AF207" s="100"/>
      <c r="AG207" s="100"/>
      <c r="AH207" s="100"/>
      <c r="AI207" s="100"/>
    </row>
    <row r="208" spans="1:35">
      <c r="A208" s="5"/>
      <c r="B208" s="92"/>
      <c r="C208" s="93"/>
      <c r="D208" s="112"/>
      <c r="F208" s="95"/>
      <c r="G208" s="94"/>
      <c r="H208" s="94"/>
      <c r="I208" s="94"/>
      <c r="J208" s="94"/>
      <c r="K208" s="95"/>
      <c r="L208" s="94"/>
      <c r="M208" s="94"/>
      <c r="N208" s="94"/>
      <c r="O208" s="94"/>
      <c r="P208" s="96"/>
      <c r="Q208" s="97"/>
      <c r="R208" s="98"/>
      <c r="S208" s="98"/>
      <c r="T208" s="97"/>
      <c r="U208" s="99"/>
      <c r="V208" s="100"/>
      <c r="W208" s="100"/>
      <c r="X208" s="100"/>
      <c r="Y208" s="100"/>
      <c r="Z208" s="99"/>
      <c r="AA208" s="100"/>
      <c r="AB208" s="100"/>
      <c r="AC208" s="100"/>
      <c r="AD208" s="100"/>
      <c r="AE208" s="99"/>
      <c r="AF208" s="100"/>
      <c r="AG208" s="100"/>
      <c r="AH208" s="100"/>
      <c r="AI208" s="100"/>
    </row>
    <row r="209" spans="1:35">
      <c r="A209" s="5"/>
      <c r="B209" s="92"/>
      <c r="C209" s="93"/>
      <c r="D209" s="112"/>
      <c r="F209" s="95"/>
      <c r="G209" s="94"/>
      <c r="H209" s="94"/>
      <c r="I209" s="94"/>
      <c r="J209" s="94"/>
      <c r="K209" s="95"/>
      <c r="L209" s="94"/>
      <c r="M209" s="94"/>
      <c r="N209" s="94"/>
      <c r="O209" s="94"/>
      <c r="P209" s="96"/>
      <c r="Q209" s="97"/>
      <c r="R209" s="98"/>
      <c r="S209" s="98"/>
      <c r="T209" s="97"/>
      <c r="U209" s="99"/>
      <c r="V209" s="100"/>
      <c r="W209" s="100"/>
      <c r="X209" s="100"/>
      <c r="Y209" s="100"/>
      <c r="Z209" s="99"/>
      <c r="AA209" s="100"/>
      <c r="AB209" s="100"/>
      <c r="AC209" s="100"/>
      <c r="AD209" s="100"/>
      <c r="AE209" s="99"/>
      <c r="AF209" s="100"/>
      <c r="AG209" s="100"/>
      <c r="AH209" s="100"/>
      <c r="AI209" s="100"/>
    </row>
    <row r="210" spans="1:35">
      <c r="A210" s="5"/>
      <c r="B210" s="92"/>
      <c r="C210" s="93"/>
      <c r="D210" s="112"/>
      <c r="F210" s="95"/>
      <c r="G210" s="94"/>
      <c r="H210" s="94"/>
      <c r="I210" s="94"/>
      <c r="J210" s="94"/>
      <c r="K210" s="95"/>
      <c r="L210" s="94"/>
      <c r="M210" s="94"/>
      <c r="N210" s="94"/>
      <c r="O210" s="94"/>
      <c r="P210" s="96"/>
      <c r="Q210" s="97"/>
      <c r="R210" s="98"/>
      <c r="S210" s="98"/>
      <c r="T210" s="97"/>
      <c r="U210" s="99"/>
      <c r="V210" s="100"/>
      <c r="W210" s="100"/>
      <c r="X210" s="100"/>
      <c r="Y210" s="100"/>
      <c r="Z210" s="99"/>
      <c r="AA210" s="100"/>
      <c r="AB210" s="100"/>
      <c r="AC210" s="100"/>
      <c r="AD210" s="100"/>
      <c r="AE210" s="99"/>
      <c r="AF210" s="100"/>
      <c r="AG210" s="100"/>
      <c r="AH210" s="100"/>
      <c r="AI210" s="100"/>
    </row>
    <row r="211" spans="1:35">
      <c r="A211" s="5"/>
      <c r="B211" s="92"/>
      <c r="C211" s="93"/>
      <c r="D211" s="112"/>
      <c r="F211" s="95"/>
      <c r="G211" s="94"/>
      <c r="H211" s="94"/>
      <c r="I211" s="94"/>
      <c r="J211" s="94"/>
      <c r="K211" s="95"/>
      <c r="L211" s="94"/>
      <c r="M211" s="94"/>
      <c r="N211" s="94"/>
      <c r="O211" s="94"/>
      <c r="P211" s="96"/>
      <c r="Q211" s="97"/>
      <c r="R211" s="98"/>
      <c r="S211" s="98"/>
      <c r="T211" s="97"/>
      <c r="U211" s="99"/>
      <c r="V211" s="100"/>
      <c r="W211" s="100"/>
      <c r="X211" s="100"/>
      <c r="Y211" s="100"/>
      <c r="Z211" s="99"/>
      <c r="AA211" s="100"/>
      <c r="AB211" s="100"/>
      <c r="AC211" s="100"/>
      <c r="AD211" s="100"/>
      <c r="AE211" s="99"/>
      <c r="AF211" s="100"/>
      <c r="AG211" s="100"/>
      <c r="AH211" s="100"/>
      <c r="AI211" s="100"/>
    </row>
    <row r="212" spans="1:35">
      <c r="A212" s="5"/>
      <c r="B212" s="92"/>
      <c r="C212" s="93"/>
      <c r="D212" s="112"/>
      <c r="F212" s="95"/>
      <c r="G212" s="94"/>
      <c r="H212" s="94"/>
      <c r="I212" s="94"/>
      <c r="J212" s="94"/>
      <c r="K212" s="95"/>
      <c r="L212" s="94"/>
      <c r="M212" s="94"/>
      <c r="N212" s="94"/>
      <c r="O212" s="94"/>
      <c r="P212" s="96"/>
      <c r="Q212" s="97"/>
      <c r="R212" s="98"/>
      <c r="S212" s="98"/>
      <c r="T212" s="97"/>
      <c r="U212" s="99"/>
      <c r="V212" s="100"/>
      <c r="W212" s="100"/>
      <c r="X212" s="100"/>
      <c r="Y212" s="100"/>
      <c r="Z212" s="99"/>
      <c r="AA212" s="100"/>
      <c r="AB212" s="100"/>
      <c r="AC212" s="100"/>
      <c r="AD212" s="100"/>
      <c r="AE212" s="99"/>
      <c r="AF212" s="100"/>
      <c r="AG212" s="100"/>
      <c r="AH212" s="100"/>
      <c r="AI212" s="100"/>
    </row>
    <row r="213" spans="1:35">
      <c r="A213" s="5"/>
      <c r="B213" s="92"/>
      <c r="C213" s="93"/>
      <c r="D213" s="112"/>
      <c r="F213" s="95"/>
      <c r="G213" s="94"/>
      <c r="H213" s="94"/>
      <c r="I213" s="94"/>
      <c r="J213" s="94"/>
      <c r="K213" s="95"/>
      <c r="L213" s="94"/>
      <c r="M213" s="94"/>
      <c r="N213" s="94"/>
      <c r="O213" s="94"/>
      <c r="P213" s="96"/>
      <c r="Q213" s="97"/>
      <c r="R213" s="98"/>
      <c r="S213" s="98"/>
      <c r="T213" s="97"/>
      <c r="U213" s="99"/>
      <c r="V213" s="100"/>
      <c r="W213" s="100"/>
      <c r="X213" s="100"/>
      <c r="Y213" s="100"/>
      <c r="Z213" s="99"/>
      <c r="AA213" s="100"/>
      <c r="AB213" s="100"/>
      <c r="AC213" s="100"/>
      <c r="AD213" s="100"/>
      <c r="AE213" s="99"/>
      <c r="AF213" s="100"/>
      <c r="AG213" s="100"/>
      <c r="AH213" s="100"/>
      <c r="AI213" s="100"/>
    </row>
    <row r="214" spans="1:35">
      <c r="A214" s="5"/>
      <c r="B214" s="92"/>
      <c r="C214" s="93"/>
      <c r="D214" s="112"/>
      <c r="F214" s="95"/>
      <c r="G214" s="94"/>
      <c r="H214" s="94"/>
      <c r="I214" s="94"/>
      <c r="J214" s="94"/>
      <c r="K214" s="95"/>
      <c r="L214" s="94"/>
      <c r="M214" s="94"/>
      <c r="N214" s="94"/>
      <c r="O214" s="94"/>
      <c r="P214" s="96"/>
      <c r="Q214" s="97"/>
      <c r="R214" s="98"/>
      <c r="S214" s="98"/>
      <c r="T214" s="97"/>
      <c r="U214" s="99"/>
      <c r="V214" s="100"/>
      <c r="W214" s="100"/>
      <c r="X214" s="100"/>
      <c r="Y214" s="100"/>
      <c r="Z214" s="99"/>
      <c r="AA214" s="100"/>
      <c r="AB214" s="100"/>
      <c r="AC214" s="100"/>
      <c r="AD214" s="100"/>
      <c r="AE214" s="99"/>
      <c r="AF214" s="100"/>
      <c r="AG214" s="100"/>
      <c r="AH214" s="100"/>
      <c r="AI214" s="100"/>
    </row>
    <row r="215" spans="1:35">
      <c r="A215" s="5"/>
      <c r="B215" s="92"/>
      <c r="C215" s="93"/>
      <c r="D215" s="112"/>
      <c r="F215" s="95"/>
      <c r="G215" s="94"/>
      <c r="H215" s="94"/>
      <c r="I215" s="94"/>
      <c r="J215" s="94"/>
      <c r="K215" s="95"/>
      <c r="L215" s="94"/>
      <c r="M215" s="94"/>
      <c r="N215" s="94"/>
      <c r="O215" s="94"/>
      <c r="P215" s="96"/>
      <c r="Q215" s="97"/>
      <c r="R215" s="98"/>
      <c r="S215" s="98"/>
      <c r="T215" s="97"/>
      <c r="U215" s="99"/>
      <c r="V215" s="100"/>
      <c r="W215" s="100"/>
      <c r="X215" s="100"/>
      <c r="Y215" s="100"/>
      <c r="Z215" s="99"/>
      <c r="AA215" s="100"/>
      <c r="AB215" s="100"/>
      <c r="AC215" s="100"/>
      <c r="AD215" s="100"/>
      <c r="AE215" s="99"/>
      <c r="AF215" s="100"/>
      <c r="AG215" s="100"/>
      <c r="AH215" s="100"/>
      <c r="AI215" s="100"/>
    </row>
    <row r="216" spans="1:35">
      <c r="A216" s="5"/>
      <c r="B216" s="92"/>
      <c r="C216" s="93"/>
      <c r="D216" s="112"/>
      <c r="F216" s="95"/>
      <c r="G216" s="94"/>
      <c r="H216" s="94"/>
      <c r="I216" s="94"/>
      <c r="J216" s="94"/>
      <c r="K216" s="95"/>
      <c r="L216" s="94"/>
      <c r="M216" s="94"/>
      <c r="N216" s="94"/>
      <c r="O216" s="94"/>
      <c r="P216" s="96"/>
      <c r="Q216" s="97"/>
      <c r="R216" s="98"/>
      <c r="S216" s="98"/>
      <c r="T216" s="97"/>
      <c r="U216" s="99"/>
      <c r="V216" s="100"/>
      <c r="W216" s="100"/>
      <c r="X216" s="100"/>
      <c r="Y216" s="100"/>
      <c r="Z216" s="99"/>
      <c r="AA216" s="100"/>
      <c r="AB216" s="100"/>
      <c r="AC216" s="100"/>
      <c r="AD216" s="100"/>
      <c r="AE216" s="99"/>
      <c r="AF216" s="100"/>
      <c r="AG216" s="100"/>
      <c r="AH216" s="100"/>
      <c r="AI216" s="100"/>
    </row>
    <row r="217" spans="1:35">
      <c r="A217" s="5"/>
      <c r="B217" s="92"/>
      <c r="C217" s="93"/>
      <c r="D217" s="112"/>
      <c r="F217" s="95"/>
      <c r="G217" s="94"/>
      <c r="H217" s="94"/>
      <c r="I217" s="94"/>
      <c r="J217" s="94"/>
      <c r="K217" s="95"/>
      <c r="L217" s="94"/>
      <c r="M217" s="94"/>
      <c r="N217" s="94"/>
      <c r="O217" s="94"/>
      <c r="P217" s="96"/>
      <c r="Q217" s="97"/>
      <c r="R217" s="98"/>
      <c r="S217" s="98"/>
      <c r="T217" s="97"/>
      <c r="U217" s="99"/>
      <c r="V217" s="100"/>
      <c r="W217" s="100"/>
      <c r="X217" s="100"/>
      <c r="Y217" s="100"/>
      <c r="Z217" s="99"/>
      <c r="AA217" s="100"/>
      <c r="AB217" s="100"/>
      <c r="AC217" s="100"/>
      <c r="AD217" s="100"/>
      <c r="AE217" s="99"/>
      <c r="AF217" s="100"/>
      <c r="AG217" s="100"/>
      <c r="AH217" s="100"/>
      <c r="AI217" s="100"/>
    </row>
    <row r="218" spans="1:35">
      <c r="A218" s="5"/>
      <c r="B218" s="92"/>
      <c r="C218" s="93"/>
      <c r="D218" s="112"/>
      <c r="F218" s="95"/>
      <c r="G218" s="94"/>
      <c r="H218" s="94"/>
      <c r="I218" s="94"/>
      <c r="J218" s="94"/>
      <c r="K218" s="95"/>
      <c r="L218" s="94"/>
      <c r="M218" s="94"/>
      <c r="N218" s="94"/>
      <c r="O218" s="94"/>
      <c r="P218" s="96"/>
      <c r="Q218" s="97"/>
      <c r="R218" s="98"/>
      <c r="S218" s="98"/>
      <c r="T218" s="97"/>
      <c r="U218" s="99"/>
      <c r="V218" s="100"/>
      <c r="W218" s="100"/>
      <c r="X218" s="100"/>
      <c r="Y218" s="100"/>
      <c r="Z218" s="99"/>
      <c r="AA218" s="100"/>
      <c r="AB218" s="100"/>
      <c r="AC218" s="100"/>
      <c r="AD218" s="100"/>
      <c r="AE218" s="99"/>
      <c r="AF218" s="100"/>
      <c r="AG218" s="100"/>
      <c r="AH218" s="100"/>
      <c r="AI218" s="100"/>
    </row>
    <row r="219" spans="1:35">
      <c r="A219" s="5"/>
      <c r="B219" s="92"/>
      <c r="C219" s="93"/>
      <c r="D219" s="112"/>
      <c r="F219" s="95"/>
      <c r="G219" s="94"/>
      <c r="H219" s="94"/>
      <c r="I219" s="94"/>
      <c r="J219" s="94"/>
      <c r="K219" s="95"/>
      <c r="L219" s="94"/>
      <c r="M219" s="94"/>
      <c r="N219" s="94"/>
      <c r="O219" s="94"/>
      <c r="P219" s="96"/>
      <c r="Q219" s="97"/>
      <c r="R219" s="98"/>
      <c r="S219" s="98"/>
      <c r="T219" s="97"/>
      <c r="U219" s="99"/>
      <c r="V219" s="100"/>
      <c r="W219" s="100"/>
      <c r="X219" s="100"/>
      <c r="Y219" s="100"/>
      <c r="Z219" s="99"/>
      <c r="AA219" s="100"/>
      <c r="AB219" s="100"/>
      <c r="AC219" s="100"/>
      <c r="AD219" s="100"/>
      <c r="AE219" s="99"/>
      <c r="AF219" s="100"/>
      <c r="AG219" s="100"/>
      <c r="AH219" s="100"/>
      <c r="AI219" s="100"/>
    </row>
    <row r="220" spans="1:35">
      <c r="A220" s="5"/>
      <c r="B220" s="92"/>
      <c r="C220" s="93"/>
      <c r="D220" s="112"/>
      <c r="F220" s="95"/>
      <c r="G220" s="94"/>
      <c r="H220" s="94"/>
      <c r="I220" s="94"/>
      <c r="J220" s="94"/>
      <c r="K220" s="95"/>
      <c r="L220" s="94"/>
      <c r="M220" s="94"/>
      <c r="N220" s="94"/>
      <c r="O220" s="94"/>
      <c r="P220" s="96"/>
      <c r="Q220" s="97"/>
      <c r="R220" s="98"/>
      <c r="S220" s="98"/>
      <c r="T220" s="97"/>
      <c r="U220" s="99"/>
      <c r="V220" s="100"/>
      <c r="W220" s="100"/>
      <c r="X220" s="100"/>
      <c r="Y220" s="100"/>
      <c r="Z220" s="99"/>
      <c r="AA220" s="100"/>
      <c r="AB220" s="100"/>
      <c r="AC220" s="100"/>
      <c r="AD220" s="100"/>
      <c r="AE220" s="99"/>
      <c r="AF220" s="100"/>
      <c r="AG220" s="100"/>
      <c r="AH220" s="100"/>
      <c r="AI220" s="100"/>
    </row>
    <row r="221" spans="1:35">
      <c r="A221" s="5"/>
      <c r="B221" s="92"/>
      <c r="C221" s="93"/>
      <c r="D221" s="112"/>
      <c r="F221" s="95"/>
      <c r="G221" s="94"/>
      <c r="H221" s="94"/>
      <c r="I221" s="94"/>
      <c r="J221" s="94"/>
      <c r="K221" s="95"/>
      <c r="L221" s="94"/>
      <c r="M221" s="94"/>
      <c r="N221" s="94"/>
      <c r="O221" s="94"/>
      <c r="P221" s="96"/>
      <c r="Q221" s="97"/>
      <c r="R221" s="98"/>
      <c r="S221" s="98"/>
      <c r="T221" s="97"/>
      <c r="U221" s="99"/>
      <c r="V221" s="100"/>
      <c r="W221" s="100"/>
      <c r="X221" s="100"/>
      <c r="Y221" s="100"/>
      <c r="Z221" s="99"/>
      <c r="AA221" s="100"/>
      <c r="AB221" s="100"/>
      <c r="AC221" s="100"/>
      <c r="AD221" s="100"/>
      <c r="AE221" s="99"/>
      <c r="AF221" s="100"/>
      <c r="AG221" s="100"/>
      <c r="AH221" s="100"/>
      <c r="AI221" s="100"/>
    </row>
    <row r="222" spans="1:35">
      <c r="A222" s="5"/>
      <c r="B222" s="92"/>
      <c r="C222" s="93"/>
      <c r="D222" s="112"/>
      <c r="F222" s="95"/>
      <c r="G222" s="94"/>
      <c r="H222" s="94"/>
      <c r="I222" s="94"/>
      <c r="J222" s="94"/>
      <c r="K222" s="95"/>
      <c r="L222" s="94"/>
      <c r="M222" s="94"/>
      <c r="N222" s="94"/>
      <c r="O222" s="94"/>
      <c r="P222" s="96"/>
      <c r="Q222" s="97"/>
      <c r="R222" s="98"/>
      <c r="S222" s="98"/>
      <c r="T222" s="97"/>
      <c r="U222" s="99"/>
      <c r="V222" s="100"/>
      <c r="W222" s="100"/>
      <c r="X222" s="100"/>
      <c r="Y222" s="100"/>
      <c r="Z222" s="99"/>
      <c r="AA222" s="100"/>
      <c r="AB222" s="100"/>
      <c r="AC222" s="100"/>
      <c r="AD222" s="100"/>
      <c r="AE222" s="99"/>
      <c r="AF222" s="100"/>
      <c r="AG222" s="100"/>
      <c r="AH222" s="100"/>
      <c r="AI222" s="100"/>
    </row>
    <row r="223" spans="1:35">
      <c r="A223" s="5"/>
      <c r="B223" s="92"/>
      <c r="C223" s="93"/>
      <c r="D223" s="112"/>
      <c r="F223" s="95"/>
      <c r="G223" s="94"/>
      <c r="H223" s="94"/>
      <c r="I223" s="94"/>
      <c r="J223" s="94"/>
      <c r="K223" s="95"/>
      <c r="L223" s="94"/>
      <c r="M223" s="94"/>
      <c r="N223" s="94"/>
      <c r="O223" s="94"/>
      <c r="P223" s="96"/>
      <c r="Q223" s="97"/>
      <c r="R223" s="98"/>
      <c r="S223" s="98"/>
      <c r="T223" s="97"/>
      <c r="U223" s="99"/>
      <c r="V223" s="100"/>
      <c r="W223" s="100"/>
      <c r="X223" s="100"/>
      <c r="Y223" s="100"/>
      <c r="Z223" s="99"/>
      <c r="AA223" s="100"/>
      <c r="AB223" s="100"/>
      <c r="AC223" s="100"/>
      <c r="AD223" s="100"/>
      <c r="AE223" s="99"/>
      <c r="AF223" s="100"/>
      <c r="AG223" s="100"/>
      <c r="AH223" s="100"/>
      <c r="AI223" s="100"/>
    </row>
    <row r="224" spans="1:35">
      <c r="A224" s="5"/>
      <c r="B224" s="92"/>
      <c r="C224" s="93"/>
      <c r="D224" s="112"/>
      <c r="F224" s="95"/>
      <c r="G224" s="94"/>
      <c r="H224" s="94"/>
      <c r="I224" s="94"/>
      <c r="J224" s="94"/>
      <c r="K224" s="95"/>
      <c r="L224" s="94"/>
      <c r="M224" s="94"/>
      <c r="N224" s="94"/>
      <c r="O224" s="94"/>
      <c r="P224" s="96"/>
      <c r="Q224" s="97"/>
      <c r="R224" s="98"/>
      <c r="S224" s="98"/>
      <c r="T224" s="97"/>
      <c r="U224" s="99"/>
      <c r="V224" s="100"/>
      <c r="W224" s="100"/>
      <c r="X224" s="100"/>
      <c r="Y224" s="100"/>
      <c r="Z224" s="99"/>
      <c r="AA224" s="100"/>
      <c r="AB224" s="100"/>
      <c r="AC224" s="100"/>
      <c r="AD224" s="100"/>
      <c r="AE224" s="99"/>
      <c r="AF224" s="100"/>
      <c r="AG224" s="100"/>
      <c r="AH224" s="100"/>
      <c r="AI224" s="100"/>
    </row>
    <row r="225" spans="1:35">
      <c r="A225" s="5"/>
      <c r="B225" s="92"/>
      <c r="C225" s="93"/>
      <c r="D225" s="112"/>
      <c r="F225" s="95"/>
      <c r="G225" s="94"/>
      <c r="H225" s="94"/>
      <c r="I225" s="94"/>
      <c r="J225" s="94"/>
      <c r="K225" s="95"/>
      <c r="L225" s="94"/>
      <c r="M225" s="94"/>
      <c r="N225" s="94"/>
      <c r="O225" s="94"/>
      <c r="P225" s="96"/>
      <c r="Q225" s="97"/>
      <c r="R225" s="98"/>
      <c r="S225" s="98"/>
      <c r="T225" s="97"/>
      <c r="U225" s="99"/>
      <c r="V225" s="100"/>
      <c r="W225" s="100"/>
      <c r="X225" s="100"/>
      <c r="Y225" s="100"/>
      <c r="Z225" s="99"/>
      <c r="AA225" s="100"/>
      <c r="AB225" s="100"/>
      <c r="AC225" s="100"/>
      <c r="AD225" s="100"/>
      <c r="AE225" s="99"/>
      <c r="AF225" s="100"/>
      <c r="AG225" s="100"/>
      <c r="AH225" s="100"/>
      <c r="AI225" s="100"/>
    </row>
    <row r="226" spans="1:35">
      <c r="A226" s="5"/>
      <c r="B226" s="92"/>
      <c r="C226" s="93"/>
      <c r="D226" s="112"/>
      <c r="F226" s="95"/>
      <c r="G226" s="94"/>
      <c r="H226" s="94"/>
      <c r="I226" s="94"/>
      <c r="J226" s="94"/>
      <c r="K226" s="95"/>
      <c r="L226" s="94"/>
      <c r="M226" s="94"/>
      <c r="N226" s="94"/>
      <c r="O226" s="94"/>
      <c r="P226" s="96"/>
      <c r="Q226" s="97"/>
      <c r="R226" s="98"/>
      <c r="S226" s="98"/>
      <c r="T226" s="97"/>
      <c r="U226" s="99"/>
      <c r="V226" s="100"/>
      <c r="W226" s="100"/>
      <c r="X226" s="100"/>
      <c r="Y226" s="100"/>
      <c r="Z226" s="99"/>
      <c r="AA226" s="100"/>
      <c r="AB226" s="100"/>
      <c r="AC226" s="100"/>
      <c r="AD226" s="100"/>
      <c r="AE226" s="99"/>
      <c r="AF226" s="100"/>
      <c r="AG226" s="100"/>
      <c r="AH226" s="100"/>
      <c r="AI226" s="100"/>
    </row>
    <row r="227" spans="1:35">
      <c r="A227" s="5"/>
      <c r="B227" s="92"/>
      <c r="C227" s="93"/>
      <c r="D227" s="112"/>
      <c r="F227" s="95"/>
      <c r="G227" s="94"/>
      <c r="H227" s="94"/>
      <c r="I227" s="94"/>
      <c r="J227" s="94"/>
      <c r="K227" s="95"/>
      <c r="L227" s="94"/>
      <c r="M227" s="94"/>
      <c r="N227" s="94"/>
      <c r="O227" s="94"/>
      <c r="P227" s="96"/>
      <c r="Q227" s="97"/>
      <c r="R227" s="98"/>
      <c r="S227" s="98"/>
      <c r="T227" s="97"/>
      <c r="U227" s="99"/>
      <c r="V227" s="100"/>
      <c r="W227" s="100"/>
      <c r="X227" s="100"/>
      <c r="Y227" s="100"/>
      <c r="Z227" s="99"/>
      <c r="AA227" s="100"/>
      <c r="AB227" s="100"/>
      <c r="AC227" s="100"/>
      <c r="AD227" s="100"/>
      <c r="AE227" s="99"/>
      <c r="AF227" s="100"/>
      <c r="AG227" s="100"/>
      <c r="AH227" s="100"/>
      <c r="AI227" s="100"/>
    </row>
    <row r="228" spans="1:35">
      <c r="A228" s="5"/>
      <c r="B228" s="92"/>
      <c r="C228" s="93"/>
      <c r="D228" s="112"/>
      <c r="F228" s="95"/>
      <c r="G228" s="94"/>
      <c r="H228" s="94"/>
      <c r="I228" s="94"/>
      <c r="J228" s="94"/>
      <c r="K228" s="95"/>
      <c r="L228" s="94"/>
      <c r="M228" s="94"/>
      <c r="N228" s="94"/>
      <c r="O228" s="94"/>
      <c r="P228" s="96"/>
      <c r="Q228" s="97"/>
      <c r="R228" s="98"/>
      <c r="S228" s="98"/>
      <c r="T228" s="97"/>
      <c r="U228" s="99"/>
      <c r="V228" s="100"/>
      <c r="W228" s="100"/>
      <c r="X228" s="100"/>
      <c r="Y228" s="100"/>
      <c r="Z228" s="99"/>
      <c r="AA228" s="100"/>
      <c r="AB228" s="100"/>
      <c r="AC228" s="100"/>
      <c r="AD228" s="100"/>
      <c r="AE228" s="99"/>
      <c r="AF228" s="100"/>
      <c r="AG228" s="100"/>
      <c r="AH228" s="100"/>
      <c r="AI228" s="100"/>
    </row>
    <row r="229" spans="1:35">
      <c r="A229" s="5"/>
      <c r="B229" s="92"/>
      <c r="C229" s="93"/>
      <c r="D229" s="112"/>
      <c r="F229" s="95"/>
      <c r="G229" s="94"/>
      <c r="H229" s="94"/>
      <c r="I229" s="94"/>
      <c r="J229" s="94"/>
      <c r="K229" s="95"/>
      <c r="L229" s="94"/>
      <c r="M229" s="94"/>
      <c r="N229" s="94"/>
      <c r="O229" s="94"/>
      <c r="P229" s="96"/>
      <c r="Q229" s="97"/>
      <c r="R229" s="98"/>
      <c r="S229" s="98"/>
      <c r="T229" s="97"/>
      <c r="U229" s="99"/>
      <c r="V229" s="100"/>
      <c r="W229" s="100"/>
      <c r="X229" s="100"/>
      <c r="Y229" s="100"/>
      <c r="Z229" s="99"/>
      <c r="AA229" s="100"/>
      <c r="AB229" s="100"/>
      <c r="AC229" s="100"/>
      <c r="AD229" s="100"/>
      <c r="AE229" s="99"/>
      <c r="AF229" s="100"/>
      <c r="AG229" s="100"/>
      <c r="AH229" s="100"/>
      <c r="AI229" s="100"/>
    </row>
    <row r="230" spans="1:35">
      <c r="A230" s="5"/>
      <c r="B230" s="92"/>
      <c r="C230" s="93"/>
      <c r="D230" s="112"/>
      <c r="F230" s="95"/>
      <c r="G230" s="94"/>
      <c r="H230" s="94"/>
      <c r="I230" s="94"/>
      <c r="J230" s="94"/>
      <c r="K230" s="95"/>
      <c r="L230" s="94"/>
      <c r="M230" s="94"/>
      <c r="N230" s="94"/>
      <c r="O230" s="94"/>
      <c r="P230" s="96"/>
      <c r="Q230" s="97"/>
      <c r="R230" s="98"/>
      <c r="S230" s="98"/>
      <c r="T230" s="97"/>
      <c r="U230" s="99"/>
      <c r="V230" s="100"/>
      <c r="W230" s="100"/>
      <c r="X230" s="100"/>
      <c r="Y230" s="100"/>
      <c r="Z230" s="99"/>
      <c r="AA230" s="100"/>
      <c r="AB230" s="100"/>
      <c r="AC230" s="100"/>
      <c r="AD230" s="100"/>
      <c r="AE230" s="99"/>
      <c r="AF230" s="100"/>
      <c r="AG230" s="100"/>
      <c r="AH230" s="100"/>
      <c r="AI230" s="100"/>
    </row>
    <row r="231" spans="1:35">
      <c r="A231" s="5"/>
      <c r="B231" s="92"/>
      <c r="C231" s="93"/>
      <c r="D231" s="112"/>
      <c r="F231" s="95"/>
      <c r="G231" s="94"/>
      <c r="H231" s="94"/>
      <c r="I231" s="94"/>
      <c r="J231" s="94"/>
      <c r="K231" s="95"/>
      <c r="L231" s="94"/>
      <c r="M231" s="94"/>
      <c r="N231" s="94"/>
      <c r="O231" s="94"/>
      <c r="P231" s="96"/>
      <c r="Q231" s="97"/>
      <c r="R231" s="98"/>
      <c r="S231" s="98"/>
      <c r="T231" s="97"/>
      <c r="U231" s="99"/>
      <c r="V231" s="100"/>
      <c r="W231" s="100"/>
      <c r="X231" s="100"/>
      <c r="Y231" s="100"/>
      <c r="Z231" s="99"/>
      <c r="AA231" s="100"/>
      <c r="AB231" s="100"/>
      <c r="AC231" s="100"/>
      <c r="AD231" s="100"/>
      <c r="AE231" s="99"/>
      <c r="AF231" s="100"/>
      <c r="AG231" s="100"/>
      <c r="AH231" s="100"/>
      <c r="AI231" s="100"/>
    </row>
    <row r="232" spans="1:35">
      <c r="A232" s="5"/>
      <c r="B232" s="92"/>
      <c r="C232" s="93"/>
      <c r="D232" s="112"/>
      <c r="F232" s="95"/>
      <c r="G232" s="94"/>
      <c r="H232" s="94"/>
      <c r="I232" s="94"/>
      <c r="J232" s="94"/>
      <c r="K232" s="95"/>
      <c r="L232" s="94"/>
      <c r="M232" s="94"/>
      <c r="N232" s="94"/>
      <c r="O232" s="94"/>
      <c r="P232" s="96"/>
      <c r="Q232" s="97"/>
      <c r="R232" s="98"/>
      <c r="S232" s="98"/>
      <c r="T232" s="97"/>
      <c r="U232" s="99"/>
      <c r="V232" s="100"/>
      <c r="W232" s="100"/>
      <c r="X232" s="100"/>
      <c r="Y232" s="100"/>
      <c r="Z232" s="99"/>
      <c r="AA232" s="100"/>
      <c r="AB232" s="100"/>
      <c r="AC232" s="100"/>
      <c r="AD232" s="100"/>
      <c r="AE232" s="99"/>
      <c r="AF232" s="100"/>
      <c r="AG232" s="100"/>
      <c r="AH232" s="100"/>
      <c r="AI232" s="100"/>
    </row>
    <row r="233" spans="1:35">
      <c r="A233" s="5"/>
      <c r="B233" s="92"/>
      <c r="C233" s="93"/>
      <c r="D233" s="112"/>
      <c r="F233" s="95"/>
      <c r="G233" s="94"/>
      <c r="H233" s="94"/>
      <c r="I233" s="94"/>
      <c r="J233" s="94"/>
      <c r="K233" s="95"/>
      <c r="L233" s="94"/>
      <c r="M233" s="94"/>
      <c r="N233" s="94"/>
      <c r="O233" s="94"/>
      <c r="P233" s="96"/>
      <c r="Q233" s="97"/>
      <c r="R233" s="98"/>
      <c r="S233" s="98"/>
      <c r="T233" s="97"/>
      <c r="U233" s="99"/>
      <c r="V233" s="100"/>
      <c r="W233" s="100"/>
      <c r="X233" s="100"/>
      <c r="Y233" s="100"/>
      <c r="Z233" s="99"/>
      <c r="AA233" s="100"/>
      <c r="AB233" s="100"/>
      <c r="AC233" s="100"/>
      <c r="AD233" s="100"/>
      <c r="AE233" s="99"/>
      <c r="AF233" s="100"/>
      <c r="AG233" s="100"/>
      <c r="AH233" s="100"/>
      <c r="AI233" s="100"/>
    </row>
    <row r="234" spans="1:35">
      <c r="A234" s="5"/>
      <c r="B234" s="92"/>
      <c r="C234" s="93"/>
      <c r="D234" s="112"/>
      <c r="F234" s="95"/>
      <c r="G234" s="94"/>
      <c r="H234" s="94"/>
      <c r="I234" s="94"/>
      <c r="J234" s="94"/>
      <c r="K234" s="95"/>
      <c r="L234" s="94"/>
      <c r="M234" s="94"/>
      <c r="N234" s="94"/>
      <c r="O234" s="94"/>
      <c r="P234" s="96"/>
      <c r="Q234" s="97"/>
      <c r="R234" s="98"/>
      <c r="S234" s="98"/>
      <c r="T234" s="97"/>
      <c r="U234" s="99"/>
      <c r="V234" s="100"/>
      <c r="W234" s="100"/>
      <c r="X234" s="100"/>
      <c r="Y234" s="100"/>
      <c r="Z234" s="99"/>
      <c r="AA234" s="100"/>
      <c r="AB234" s="100"/>
      <c r="AC234" s="100"/>
      <c r="AD234" s="100"/>
      <c r="AE234" s="99"/>
      <c r="AF234" s="100"/>
      <c r="AG234" s="100"/>
      <c r="AH234" s="100"/>
      <c r="AI234" s="100"/>
    </row>
    <row r="235" spans="1:35">
      <c r="A235" s="5"/>
      <c r="B235" s="92"/>
      <c r="C235" s="93"/>
      <c r="D235" s="112"/>
      <c r="F235" s="95"/>
      <c r="G235" s="94"/>
      <c r="H235" s="94"/>
      <c r="I235" s="94"/>
      <c r="J235" s="94"/>
      <c r="K235" s="95"/>
      <c r="L235" s="94"/>
      <c r="M235" s="94"/>
      <c r="N235" s="94"/>
      <c r="O235" s="94"/>
      <c r="P235" s="96"/>
      <c r="Q235" s="97"/>
      <c r="R235" s="98"/>
      <c r="S235" s="98"/>
      <c r="T235" s="97"/>
      <c r="U235" s="99"/>
      <c r="V235" s="100"/>
      <c r="W235" s="100"/>
      <c r="X235" s="100"/>
      <c r="Y235" s="100"/>
      <c r="Z235" s="99"/>
      <c r="AA235" s="100"/>
      <c r="AB235" s="100"/>
      <c r="AC235" s="100"/>
      <c r="AD235" s="100"/>
      <c r="AE235" s="99"/>
      <c r="AF235" s="100"/>
      <c r="AG235" s="100"/>
      <c r="AH235" s="100"/>
      <c r="AI235" s="100"/>
    </row>
    <row r="236" spans="1:35">
      <c r="A236" s="5"/>
      <c r="B236" s="92"/>
      <c r="C236" s="93"/>
      <c r="D236" s="112"/>
      <c r="F236" s="95"/>
      <c r="G236" s="94"/>
      <c r="H236" s="94"/>
      <c r="I236" s="94"/>
      <c r="J236" s="94"/>
      <c r="K236" s="95"/>
      <c r="L236" s="94"/>
      <c r="M236" s="94"/>
      <c r="N236" s="94"/>
      <c r="O236" s="94"/>
      <c r="P236" s="96"/>
      <c r="Q236" s="97"/>
      <c r="R236" s="98"/>
      <c r="S236" s="98"/>
      <c r="T236" s="97"/>
      <c r="U236" s="99"/>
      <c r="V236" s="100"/>
      <c r="W236" s="100"/>
      <c r="X236" s="100"/>
      <c r="Y236" s="100"/>
      <c r="Z236" s="99"/>
      <c r="AA236" s="100"/>
      <c r="AB236" s="100"/>
      <c r="AC236" s="100"/>
      <c r="AD236" s="100"/>
      <c r="AE236" s="99"/>
      <c r="AF236" s="100"/>
      <c r="AG236" s="100"/>
      <c r="AH236" s="100"/>
      <c r="AI236" s="100"/>
    </row>
    <row r="237" spans="1:35">
      <c r="A237" s="5"/>
      <c r="B237" s="92"/>
      <c r="C237" s="93"/>
      <c r="D237" s="112"/>
      <c r="F237" s="95"/>
      <c r="G237" s="94"/>
      <c r="H237" s="94"/>
      <c r="I237" s="94"/>
      <c r="J237" s="94"/>
      <c r="K237" s="95"/>
      <c r="L237" s="94"/>
      <c r="M237" s="94"/>
      <c r="N237" s="94"/>
      <c r="O237" s="94"/>
      <c r="P237" s="96"/>
      <c r="Q237" s="97"/>
      <c r="R237" s="98"/>
      <c r="S237" s="98"/>
      <c r="T237" s="97"/>
      <c r="U237" s="99"/>
      <c r="V237" s="100"/>
      <c r="W237" s="100"/>
      <c r="X237" s="100"/>
      <c r="Y237" s="100"/>
      <c r="Z237" s="99"/>
      <c r="AA237" s="100"/>
      <c r="AB237" s="100"/>
      <c r="AC237" s="100"/>
      <c r="AD237" s="100"/>
      <c r="AE237" s="99"/>
      <c r="AF237" s="100"/>
      <c r="AG237" s="100"/>
      <c r="AH237" s="100"/>
      <c r="AI237" s="100"/>
    </row>
    <row r="238" spans="1:35">
      <c r="A238" s="5"/>
      <c r="B238" s="92"/>
      <c r="C238" s="93"/>
      <c r="D238" s="112"/>
      <c r="F238" s="95"/>
      <c r="G238" s="94"/>
      <c r="H238" s="94"/>
      <c r="I238" s="94"/>
      <c r="J238" s="94"/>
      <c r="K238" s="95"/>
      <c r="L238" s="94"/>
      <c r="M238" s="94"/>
      <c r="N238" s="94"/>
      <c r="O238" s="94"/>
      <c r="P238" s="96"/>
      <c r="Q238" s="97"/>
      <c r="R238" s="98"/>
      <c r="S238" s="98"/>
      <c r="T238" s="97"/>
      <c r="U238" s="99"/>
      <c r="V238" s="100"/>
      <c r="W238" s="100"/>
      <c r="X238" s="100"/>
      <c r="Y238" s="100"/>
      <c r="Z238" s="99"/>
      <c r="AA238" s="100"/>
      <c r="AB238" s="100"/>
      <c r="AC238" s="100"/>
      <c r="AD238" s="100"/>
      <c r="AE238" s="99"/>
      <c r="AF238" s="100"/>
      <c r="AG238" s="100"/>
      <c r="AH238" s="100"/>
      <c r="AI238" s="100"/>
    </row>
    <row r="239" spans="1:35">
      <c r="A239" s="5"/>
      <c r="B239" s="92"/>
      <c r="C239" s="93"/>
      <c r="D239" s="112"/>
      <c r="F239" s="95"/>
      <c r="G239" s="94"/>
      <c r="H239" s="94"/>
      <c r="I239" s="94"/>
      <c r="J239" s="94"/>
      <c r="K239" s="95"/>
      <c r="L239" s="94"/>
      <c r="M239" s="94"/>
      <c r="N239" s="94"/>
      <c r="O239" s="94"/>
      <c r="P239" s="96"/>
      <c r="Q239" s="97"/>
      <c r="R239" s="98"/>
      <c r="S239" s="98"/>
      <c r="T239" s="97"/>
      <c r="U239" s="99"/>
      <c r="V239" s="100"/>
      <c r="W239" s="100"/>
      <c r="X239" s="100"/>
      <c r="Y239" s="100"/>
      <c r="Z239" s="99"/>
      <c r="AA239" s="100"/>
      <c r="AB239" s="100"/>
      <c r="AC239" s="100"/>
      <c r="AD239" s="100"/>
      <c r="AE239" s="99"/>
      <c r="AF239" s="100"/>
      <c r="AG239" s="100"/>
      <c r="AH239" s="100"/>
      <c r="AI239" s="100"/>
    </row>
    <row r="240" spans="1:35">
      <c r="A240" s="5"/>
      <c r="B240" s="92"/>
      <c r="C240" s="93"/>
      <c r="D240" s="112"/>
      <c r="F240" s="95"/>
      <c r="G240" s="94"/>
      <c r="H240" s="94"/>
      <c r="I240" s="94"/>
      <c r="J240" s="94"/>
      <c r="K240" s="95"/>
      <c r="L240" s="94"/>
      <c r="M240" s="94"/>
      <c r="N240" s="94"/>
      <c r="O240" s="94"/>
      <c r="P240" s="96"/>
      <c r="Q240" s="97"/>
      <c r="R240" s="98"/>
      <c r="S240" s="98"/>
      <c r="T240" s="97"/>
      <c r="U240" s="99"/>
      <c r="V240" s="100"/>
      <c r="W240" s="100"/>
      <c r="X240" s="100"/>
      <c r="Y240" s="100"/>
      <c r="Z240" s="99"/>
      <c r="AA240" s="100"/>
      <c r="AB240" s="100"/>
      <c r="AC240" s="100"/>
      <c r="AD240" s="100"/>
      <c r="AE240" s="99"/>
      <c r="AF240" s="100"/>
      <c r="AG240" s="100"/>
      <c r="AH240" s="100"/>
      <c r="AI240" s="100"/>
    </row>
  </sheetData>
  <phoneticPr fontId="3"/>
  <pageMargins left="0.75" right="0.75" top="1" bottom="1" header="0.51200000000000001" footer="0.51200000000000001"/>
  <pageSetup paperSize="8" scale="6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Ads. rate meas. calc.</vt:lpstr>
      <vt:lpstr>GC calc</vt:lpstr>
      <vt:lpstr>Adsorption amount</vt:lpstr>
      <vt:lpstr>input1</vt:lpstr>
      <vt:lpstr>'Adsorption amount'!Print_Area</vt:lpstr>
      <vt:lpstr>'GC calc'!Print_Area</vt:lpstr>
    </vt:vector>
  </TitlesOfParts>
  <Company>NIST, Boulder, Colorado, U.S.A.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REFPROP AddIns</dc:title>
  <dc:creator>Eric W. Lemmon</dc:creator>
  <cp:lastModifiedBy>Microsoft Office User</cp:lastModifiedBy>
  <cp:lastPrinted>2016-02-23T09:33:02Z</cp:lastPrinted>
  <dcterms:created xsi:type="dcterms:W3CDTF">2001-01-26T23:35:02Z</dcterms:created>
  <dcterms:modified xsi:type="dcterms:W3CDTF">2021-04-16T08:07:52Z</dcterms:modified>
</cp:coreProperties>
</file>